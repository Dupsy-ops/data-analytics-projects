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l my projects\"/>
    </mc:Choice>
  </mc:AlternateContent>
  <xr:revisionPtr revIDLastSave="0" documentId="8_{D66BEBAD-EAB2-4572-B035-EABBA2EB692B}" xr6:coauthVersionLast="36" xr6:coauthVersionMax="36" xr10:uidLastSave="{00000000-0000-0000-0000-000000000000}"/>
  <bookViews>
    <workbookView xWindow="-105" yWindow="-105" windowWidth="22785" windowHeight="14535" activeTab="1" xr2:uid="{9A83A121-78E4-44E1-86B3-BFB1825CDE50}"/>
  </bookViews>
  <sheets>
    <sheet name="Sheet2" sheetId="2" r:id="rId1"/>
    <sheet name="Sheet1" sheetId="1" r:id="rId2"/>
  </sheets>
  <calcPr calcId="191029"/>
  <pivotCaches>
    <pivotCache cacheId="50" r:id="rId3"/>
    <pivotCache cacheId="51" r:id="rId4"/>
    <pivotCache cacheId="52" r:id="rId5"/>
    <pivotCache cacheId="53" r:id="rId6"/>
    <pivotCache cacheId="54" r:id="rId7"/>
    <pivotCache cacheId="55" r:id="rId8"/>
    <pivotCache cacheId="56" r:id="rId9"/>
    <pivotCache cacheId="57" r:id="rId10"/>
    <pivotCache cacheId="58" r:id="rId11"/>
    <pivotCache cacheId="59" r:id="rId12"/>
    <pivotCache cacheId="60" r:id="rId13"/>
    <pivotCache cacheId="61" r:id="rId14"/>
    <pivotCache cacheId="62" r:id="rId15"/>
    <pivotCache cacheId="63" r:id="rId16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29d2e86c-6faa-4fcb-9ff0-711052697137" name="Customers" connection="Query - Customers"/>
          <x15:modelTable id="Products_260d0747-e57b-4377-ba8a-a3f3f332aa36" name="Products" connection="Query - Products"/>
          <x15:modelTable id="Stores_cd97d9b4-9b95-4168-8426-15edebca93e5" name="Stores" connection="Query - Stores"/>
          <x15:modelTable id="Transactions_066c6f48-4113-4d18-94ae-fd589f88d816" name="Transactions" connection="Query - Transactions"/>
          <x15:modelTable id="Calendar" name="Calendar" connection="Connection"/>
        </x15:modelTables>
        <x15:modelRelationships>
          <x15:modelRelationship fromTable="Transactions" fromColumn="Customer ID" toTable="Customers" toColumn="Customer ID"/>
          <x15:modelRelationship fromTable="Transactions" fromColumn="Order Date" toTable="Calendar" toColumn="Date"/>
          <x15:modelRelationship fromTable="Transactions" fromColumn="Product ID" toTable="Products" toColumn="Product ID"/>
          <x15:modelRelationship fromTable="Transactions" fromColumn="City" toTable="Stores" toColumn="City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EC3615-B31E-4D9E-BEB5-7D45C3E0E946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ED5ABCEE-5DC6-4820-835F-85048A1989AE}" name="Query - Customers" description="Connection to the 'Customers' query in the workbook." type="100" refreshedVersion="7" minRefreshableVersion="5">
    <extLst>
      <ext xmlns:x15="http://schemas.microsoft.com/office/spreadsheetml/2010/11/main" uri="{DE250136-89BD-433C-8126-D09CA5730AF9}">
        <x15:connection id="ac8f35cd-8848-43c5-8bd2-1fb534abcbf9"/>
      </ext>
    </extLst>
  </connection>
  <connection id="3" xr16:uid="{6B519089-A972-4646-BEFC-338102DE5DEA}" name="Query - Products" description="Connection to the 'Products' query in the workbook." type="100" refreshedVersion="7" minRefreshableVersion="5">
    <extLst>
      <ext xmlns:x15="http://schemas.microsoft.com/office/spreadsheetml/2010/11/main" uri="{DE250136-89BD-433C-8126-D09CA5730AF9}">
        <x15:connection id="3c583654-2036-4dc6-ac7d-7c1a54ad69a5"/>
      </ext>
    </extLst>
  </connection>
  <connection id="4" xr16:uid="{D2A8EDA5-5DEC-4590-BB4C-B5D15A3FFAAA}" name="Query - Stores" description="Connection to the 'Stores' query in the workbook." type="100" refreshedVersion="7" minRefreshableVersion="5">
    <extLst>
      <ext xmlns:x15="http://schemas.microsoft.com/office/spreadsheetml/2010/11/main" uri="{DE250136-89BD-433C-8126-D09CA5730AF9}">
        <x15:connection id="9b709183-6d55-43d8-8851-c89e9ba13260"/>
      </ext>
    </extLst>
  </connection>
  <connection id="5" xr16:uid="{3E8BBA35-4A70-4AD3-856F-6E5790FF2F59}" name="Query - Transactions" description="Connection to the 'Transactions' query in the workbook." type="100" refreshedVersion="7" minRefreshableVersion="5">
    <extLst>
      <ext xmlns:x15="http://schemas.microsoft.com/office/spreadsheetml/2010/11/main" uri="{DE250136-89BD-433C-8126-D09CA5730AF9}">
        <x15:connection id="e956f6b3-8ad2-416d-bcf2-852588c42c9b"/>
      </ext>
    </extLst>
  </connection>
  <connection id="6" xr16:uid="{2E225C00-A603-49C5-91AF-13AE234CDC2A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<sst xmlns="http://schemas.openxmlformats.org/spreadsheetml/2006/main" count="174" uniqueCount="71">
  <si>
    <t>Profit by region</t>
  </si>
  <si>
    <t>Sum of Profit</t>
  </si>
  <si>
    <t>Row Labels</t>
  </si>
  <si>
    <t>Ashanti</t>
  </si>
  <si>
    <t>Brong-Ahafo</t>
  </si>
  <si>
    <t>Central</t>
  </si>
  <si>
    <t>Eastern</t>
  </si>
  <si>
    <t>Greater Accra</t>
  </si>
  <si>
    <t>Northern</t>
  </si>
  <si>
    <t>Upper East</t>
  </si>
  <si>
    <t>Upper West</t>
  </si>
  <si>
    <t>Volta</t>
  </si>
  <si>
    <t>Western</t>
  </si>
  <si>
    <t>Grand Total</t>
  </si>
  <si>
    <t>Profit By Region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</si>
  <si>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</si>
  <si>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</si>
  <si>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</si>
  <si>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</si>
  <si>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</si>
  <si>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</si>
  <si>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</si>
  <si>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</si>
  <si>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</si>
  <si>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</si>
  <si>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</si>
  <si>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</si>
  <si>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 by revenue by cost by profit dashboard</t>
  </si>
  <si>
    <t>Sum of Revenue2</t>
  </si>
  <si>
    <t>Sum of Cost</t>
  </si>
  <si>
    <t>Sum of Profit Margin</t>
  </si>
  <si>
    <t>Accessories_Supplies</t>
  </si>
  <si>
    <t>Furniture</t>
  </si>
  <si>
    <t>Headphones</t>
  </si>
  <si>
    <t>Home Audio</t>
  </si>
  <si>
    <t>Home_Kitchen</t>
  </si>
  <si>
    <t>Laptop_Desktop accessories</t>
  </si>
  <si>
    <t>Mobile Phones</t>
  </si>
  <si>
    <t>Office Products</t>
  </si>
  <si>
    <t>Radios_Transceivers</t>
  </si>
  <si>
    <t>Telephones_Accessories</t>
  </si>
  <si>
    <t>Television</t>
  </si>
  <si>
    <t>Tools_Home Improvement</t>
  </si>
  <si>
    <t>Wearable Technology</t>
  </si>
  <si>
    <t>Total Revenue</t>
  </si>
  <si>
    <t>Total Profit margin Status</t>
  </si>
  <si>
    <t>PY sales</t>
  </si>
  <si>
    <t>Total Qty</t>
  </si>
  <si>
    <t>PY Qty</t>
  </si>
  <si>
    <t>Total customers</t>
  </si>
  <si>
    <t>PY customers</t>
  </si>
  <si>
    <t>Var CurrentSales = [Total Sales]</t>
  </si>
  <si>
    <t>Var PrevSales = [PY Sales]</t>
  </si>
  <si>
    <t>Return</t>
  </si>
  <si>
    <t>IF(</t>
  </si>
  <si>
    <t xml:space="preserve">Not ISBLANK(PrevSales), </t>
  </si>
  <si>
    <t>DIVIDE(CurrentSales-PrevSales,PrevSales),</t>
  </si>
  <si>
    <t>Blank()</t>
  </si>
  <si>
    <t>)</t>
  </si>
  <si>
    <t>Monthly qty</t>
  </si>
  <si>
    <t>Montly Sales</t>
  </si>
  <si>
    <t>Top selling products</t>
  </si>
  <si>
    <t>Total Order</t>
  </si>
  <si>
    <t>AOV</t>
  </si>
  <si>
    <t xml:space="preserve">Py </t>
  </si>
  <si>
    <t>PY Orders</t>
  </si>
  <si>
    <t>PY AOV</t>
  </si>
  <si>
    <t>YOY Sales</t>
  </si>
  <si>
    <t>Growth order</t>
  </si>
  <si>
    <t>Growth customers</t>
  </si>
  <si>
    <t>Growth AOV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</si>
</sst>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;\(\$#,##0.00\);\$#,##0.00"/>
    <numFmt numFmtId="165" formatCode="[&gt;=1000000]&quot;$&quot;0,,&quot;M&quot;;[&gt;=1000]&quot;$&quot;0,,&quot;K&quot;;&quot;$&quot;0"/>
    <numFmt numFmtId="166" formatCode="[&gt;=1000000]0.0,,&quot;M&quot;;[&gt;=1000]0.0,&quot;K&quot;;0.0"/>
    <numFmt numFmtId="167" formatCode="[&gt;=1000000]&quot;$&quot;0.0,,&quot;M&quot;;[&gt;=1000]&quot;$&quot;0.0,,&quot;K&quot;;&quot;$&quot;0.0"/>
    <numFmt numFmtId="168" formatCode="[&gt;=1000000]&quot;$&quot;0.00,,&quot;M&quot;;[&gt;=1000]&quot;$&quot;0.00,,&quot;K&quot;;&quot;$&quot;0.00"/>
    <numFmt numFmtId="169" formatCode="[&gt;=1000000]&quot;$&quot;0.0,&quot;M&quot;;[&gt;=1000]&quot;$&quot;0,&quot;K&quot;;&quot;$&quot;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D0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0" fontId="0" fillId="2" borderId="0" xfId="0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11">
    <dxf>
      <numFmt numFmtId="168" formatCode="[&gt;=1000000]&quot;$&quot;0.00,,&quot;M&quot;;[&gt;=1000]&quot;$&quot;0.00,,&quot;K&quot;;&quot;$&quot;0.00"/>
    </dxf>
    <dxf>
      <numFmt numFmtId="166" formatCode="[&gt;=1000000]0.0,,&quot;M&quot;;[&gt;=1000]0.0,&quot;K&quot;;0.0"/>
    </dxf>
    <dxf>
      <numFmt numFmtId="166" formatCode="[&gt;=1000000]0.0,,&quot;M&quot;;[&gt;=1000]0.0,&quot;K&quot;;0.0"/>
    </dxf>
    <dxf>
      <numFmt numFmtId="166" formatCode="[&gt;=1000000]0.0,,&quot;M&quot;;[&gt;=1000]0.0,&quot;K&quot;;0.0"/>
    </dxf>
    <dxf>
      <numFmt numFmtId="166" formatCode="[&gt;=1000000]0.0,,&quot;M&quot;;[&gt;=1000]0.0,&quot;K&quot;;0.0"/>
    </dxf>
    <dxf>
      <numFmt numFmtId="165" formatCode="[&gt;=1000000]&quot;$&quot;0,,&quot;M&quot;;[&gt;=1000]&quot;$&quot;0,,&quot;K&quot;;&quot;$&quot;0"/>
    </dxf>
    <dxf>
      <numFmt numFmtId="166" formatCode="[&gt;=1000000]0.0,,&quot;M&quot;;[&gt;=1000]0.0,&quot;K&quot;;0.0"/>
    </dxf>
    <dxf>
      <numFmt numFmtId="169" formatCode="[&gt;=1000000]&quot;$&quot;0.0,&quot;M&quot;;[&gt;=1000]&quot;$&quot;0,&quot;K&quot;;&quot;$&quot;0.0"/>
    </dxf>
    <dxf>
      <numFmt numFmtId="169" formatCode="[&gt;=1000000]&quot;$&quot;0.0,&quot;M&quot;;[&gt;=1000]&quot;$&quot;0,&quot;K&quot;;&quot;$&quot;0.0"/>
    </dxf>
    <dxf>
      <numFmt numFmtId="169" formatCode="[&gt;=1000000]&quot;$&quot;0.0,&quot;M&quot;;[&gt;=1000]&quot;$&quot;0,&quot;K&quot;;&quot;$&quot;0.0"/>
    </dxf>
    <dxf>
      <numFmt numFmtId="167" formatCode="[&gt;=1000000]&quot;$&quot;0.0,,&quot;M&quot;;[&gt;=1000]&quot;$&quot;0.0,,&quot;K&quot;;&quot;$&quot;0.0"/>
    </dxf>
  </dxfs>
  <tableStyles count="0" defaultTableStyle="TableStyleMedium2" defaultPivotStyle="PivotStyleLight16"/>
  <colors>
    <mruColors>
      <color rgb="FF52144B"/>
      <color rgb="FFF7D0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1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4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3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8.xml"/><Relationship Id="rId19" Type="http://schemas.openxmlformats.org/officeDocument/2006/relationships/styles" Target="styles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52" Type="http://schemas.openxmlformats.org/officeDocument/2006/relationships/customXml" Target="../customXml/item31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12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30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[Worked on sales data set(AutoRecovered).xlsx]Sheet2!PivotTable2</c:name>
    <c:fmtId val="13"/>
  </c:pivotSource>
  <c:chart>
    <c:autoTitleDeleted val="1"/>
    <c:pivotFmts>
      <c:pivotFmt>
        <c:idx val="0"/>
        <c:spPr>
          <a:solidFill>
            <a:srgbClr val="52144B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2144B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2144B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1.0095381433964113E-2"/>
          <c:y val="0.36802726879212072"/>
          <c:w val="0.98608128529388372"/>
          <c:h val="0.43350062394386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Sheet2!$V$9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2144B"/>
            </a:solidFill>
            <a:ln>
              <a:noFill/>
            </a:ln>
            <a:effectLst/>
          </c:spPr>
          <c:invertIfNegative val="0"/>
          <c:cat>
            <c:strRef>
              <c:f>Sheet2!$U$10:$U$22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Sheet2!$V$10:$V$22</c:f>
              <c:numCache>
                <c:formatCode>\$#,##0.00;\(\$#,##0.00\);\$#,##0.00</c:formatCode>
                <c:ptCount val="12"/>
                <c:pt idx="0">
                  <c:v>506145</c:v>
                </c:pt>
                <c:pt idx="1">
                  <c:v>306517</c:v>
                </c:pt>
                <c:pt idx="2">
                  <c:v>767026</c:v>
                </c:pt>
                <c:pt idx="3">
                  <c:v>796906</c:v>
                </c:pt>
                <c:pt idx="4">
                  <c:v>570425</c:v>
                </c:pt>
                <c:pt idx="5">
                  <c:v>298017</c:v>
                </c:pt>
                <c:pt idx="6">
                  <c:v>682283</c:v>
                </c:pt>
                <c:pt idx="7">
                  <c:v>496796</c:v>
                </c:pt>
                <c:pt idx="8">
                  <c:v>668480</c:v>
                </c:pt>
                <c:pt idx="9">
                  <c:v>682572</c:v>
                </c:pt>
                <c:pt idx="10">
                  <c:v>591107</c:v>
                </c:pt>
                <c:pt idx="11">
                  <c:v>632663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0-4373-99A2-CB47DB68F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6543"/>
        <c:axId val="1455921680"/>
      </c:barChart>
      <c:catAx>
        <c:axId val="15596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55921680"/>
        <c:crosses val="autoZero"/>
        <c:auto val="1"/>
        <c:lblAlgn val="ctr"/>
        <c:lblOffset val="100"/>
        <c:noMultiLvlLbl val="0"/>
      </c:catAx>
      <c:valAx>
        <c:axId val="1455921680"/>
        <c:scaling>
          <c:orientation val="minMax"/>
        </c:scaling>
        <c:delete val="1"/>
        <c:axPos val="l"/>
        <c:numFmt formatCode="\$#,##0.00;\(\$#,##0.00\);\$#,##0.00" sourceLinked="1"/>
        <c:majorTickMark val="none"/>
        <c:minorTickMark val="none"/>
        <c:tickLblPos val="nextTo"/>
        <c:crossAx val="1559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[Worked on sales data set(AutoRecovered).xlsx]Sheet2!PivotTable4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rgbClr val="52144B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rgbClr val="52144B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rgbClr val="52144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52144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52144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619352570557114E-2"/>
          <c:y val="0.1302750653308746"/>
          <c:w val="0.93876129485888582"/>
          <c:h val="0.76704683657198458"/>
        </c:manualLayout>
      </c:layout>
      <c:lineChart>
        <c:grouping val="standard"/>
        <c:varyColors val="0"/>
        <c:ser>
          <c:idx val="0"/>
          <c:order val="0"/>
          <c:tx>
            <c:strRef>
              <c:f>Sheet2!$I$31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52144B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0E59-4C5E-BFBC-6497A4EBE1FE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0E59-4C5E-BFBC-6497A4EBE1FE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59-4C5E-BFBC-6497A4EBE1F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59-4C5E-BFBC-6497A4EBE1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Sheet2!$H$32:$H$44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Sheet2!$I$32:$I$44</c:f>
              <c:numCache>
                <c:formatCode>[&gt;=1000000]"$"0.00,,"M";[&gt;=1000]"$"0.00,,"K";"$"0.00</c:formatCode>
                <c:ptCount val="12"/>
                <c:pt idx="0">
                  <c:v>506145</c:v>
                </c:pt>
                <c:pt idx="1">
                  <c:v>306517</c:v>
                </c:pt>
                <c:pt idx="2">
                  <c:v>767026</c:v>
                </c:pt>
                <c:pt idx="3">
                  <c:v>796906</c:v>
                </c:pt>
                <c:pt idx="4">
                  <c:v>570425</c:v>
                </c:pt>
                <c:pt idx="5">
                  <c:v>298017</c:v>
                </c:pt>
                <c:pt idx="6">
                  <c:v>682283</c:v>
                </c:pt>
                <c:pt idx="7">
                  <c:v>496796</c:v>
                </c:pt>
                <c:pt idx="8">
                  <c:v>668480</c:v>
                </c:pt>
                <c:pt idx="9">
                  <c:v>682572</c:v>
                </c:pt>
                <c:pt idx="10">
                  <c:v>591107</c:v>
                </c:pt>
                <c:pt idx="11">
                  <c:v>632663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59-4C5E-BFBC-6497A4EBE1F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7410367"/>
        <c:axId val="1455924592"/>
      </c:lineChart>
      <c:catAx>
        <c:axId val="8741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55924592"/>
        <c:crosses val="autoZero"/>
        <c:auto val="1"/>
        <c:lblAlgn val="ctr"/>
        <c:lblOffset val="100"/>
        <c:noMultiLvlLbl val="0"/>
      </c:catAx>
      <c:valAx>
        <c:axId val="14559245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[&gt;=1000000]&quot;$&quot;0.00,,&quot;M&quot;;[&gt;=1000]&quot;$&quot;0.00,,&quot;K&quot;;&quot;$&quot;0.00" sourceLinked="1"/>
        <c:majorTickMark val="none"/>
        <c:minorTickMark val="none"/>
        <c:tickLblPos val="nextTo"/>
        <c:crossAx val="87410367"/>
        <c:crosses val="autoZero"/>
        <c:crossBetween val="between"/>
      </c:valAx>
      <c:spPr>
        <a:noFill/>
        <a:ln>
          <a:noFill/>
          <a:prstDash val="sysDot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[Worked on sales data set(AutoRecovered).xlsx]Sheet2!PivotTable5</c:name>
    <c:fmtId val="36"/>
  </c:pivotSource>
  <c:chart>
    <c:autoTitleDeleted val="1"/>
    <c:pivotFmts>
      <c:pivotFmt>
        <c:idx val="0"/>
        <c:spPr>
          <a:solidFill>
            <a:srgbClr val="52144B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2144B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2144B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52144B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52144B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4.1431261770244823E-2"/>
          <c:y val="0.11771952385544078"/>
          <c:w val="0.51342912644394023"/>
          <c:h val="0.83117712314459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Sheet2!$T$26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2144B"/>
            </a:solidFill>
            <a:ln>
              <a:noFill/>
            </a:ln>
            <a:effectLst/>
          </c:spPr>
          <c:invertIfNegative val="0"/>
          <c:cat>
            <c:strRef>
              <c:f>Sheet2!$S$27:$S$35</c:f>
              <c:strCache>
                <c:ptCount val="8"/>
                <c:pt idx="0">
                  <c:v>Accessories_Supplies</c:v>
                </c:pt>
                <c:pt idx="1">
                  <c:v>Home Audio</c:v>
                </c:pt>
                <c:pt idx="2">
                  <c:v>Home_Kitchen</c:v>
                </c:pt>
                <c:pt idx="3">
                  <c:v>Laptop_Desktop accessories</c:v>
                </c:pt>
                <c:pt idx="4">
                  <c:v>Mobile Phones</c:v>
                </c:pt>
                <c:pt idx="5">
                  <c:v>Telephones_Accessories</c:v>
                </c:pt>
                <c:pt idx="6">
                  <c:v>Television</c:v>
                </c:pt>
                <c:pt idx="7">
                  <c:v>Wearable Technology</c:v>
                </c:pt>
              </c:strCache>
            </c:strRef>
          </c:cat>
          <c:val>
            <c:numRef>
              <c:f>Sheet2!$T$27:$T$35</c:f>
              <c:numCache>
                <c:formatCode>General</c:formatCode>
                <c:ptCount val="8"/>
                <c:pt idx="0">
                  <c:v>471821</c:v>
                </c:pt>
                <c:pt idx="1">
                  <c:v>218385</c:v>
                </c:pt>
                <c:pt idx="2">
                  <c:v>887160</c:v>
                </c:pt>
                <c:pt idx="3">
                  <c:v>441140</c:v>
                </c:pt>
                <c:pt idx="4">
                  <c:v>1224368</c:v>
                </c:pt>
                <c:pt idx="5">
                  <c:v>894663</c:v>
                </c:pt>
                <c:pt idx="6">
                  <c:v>2001334</c:v>
                </c:pt>
                <c:pt idx="7">
                  <c:v>252970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3-4C4A-AD24-FEF9B3863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0472815"/>
        <c:axId val="56968960"/>
      </c:barChart>
      <c:catAx>
        <c:axId val="24047281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6968960"/>
        <c:crosses val="autoZero"/>
        <c:auto val="1"/>
        <c:lblAlgn val="ctr"/>
        <c:lblOffset val="100"/>
        <c:noMultiLvlLbl val="0"/>
      </c:catAx>
      <c:valAx>
        <c:axId val="56968960"/>
        <c:scaling>
          <c:orientation val="maxMin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047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microsoft.com/office/2007/relationships/hdphoto" Target="../media/hdphoto1.wdp"/><Relationship Id="rId7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9526</xdr:colOff>
      <xdr:row>14</xdr:row>
      <xdr:rowOff>95250</xdr:rowOff>
    </xdr:from>
    <xdr:to>
      <xdr:col>29</xdr:col>
      <xdr:colOff>180975</xdr:colOff>
      <xdr:row>24</xdr:row>
      <xdr:rowOff>180975</xdr:rowOff>
    </xdr:to>
    <xdr:sp macro="" textlink="">
      <xdr:nvSpPr>
        <xdr:cNvPr id="9" name="Rectangle: Top Corners Rounded 8">
          <a:extLst>
            <a:ext uri="{FF2B5EF4-FFF2-40B4-BE49-F238E27FC236}">
              <a16:creationId xmlns:a16="http://schemas.microsoft.com/office/drawing/2014/main" id="{E39CFB82-7892-4778-B691-B5F803A4A6CC}"/>
            </a:ext>
          </a:extLst>
        </xdr:cNvPr>
        <xdr:cNvSpPr/>
      </xdr:nvSpPr>
      <xdr:spPr>
        <a:xfrm>
          <a:off x="23926801" y="2190750"/>
          <a:ext cx="171449" cy="1990725"/>
        </a:xfrm>
        <a:prstGeom prst="round2SameRect">
          <a:avLst>
            <a:gd name="adj1" fmla="val 50000"/>
            <a:gd name="adj2" fmla="val 0"/>
          </a:avLst>
        </a:prstGeom>
        <a:solidFill>
          <a:srgbClr val="52144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21125</xdr:colOff>
      <xdr:row>5</xdr:row>
      <xdr:rowOff>133350</xdr:rowOff>
    </xdr:from>
    <xdr:to>
      <xdr:col>28</xdr:col>
      <xdr:colOff>304800</xdr:colOff>
      <xdr:row>49</xdr:row>
      <xdr:rowOff>190499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3293FE2-C312-4289-A985-FBE75DDC6AA8}"/>
            </a:ext>
          </a:extLst>
        </xdr:cNvPr>
        <xdr:cNvSpPr/>
      </xdr:nvSpPr>
      <xdr:spPr>
        <a:xfrm>
          <a:off x="2926250" y="1085850"/>
          <a:ext cx="13647250" cy="8439149"/>
        </a:xfrm>
        <a:prstGeom prst="rect">
          <a:avLst/>
        </a:prstGeom>
        <a:solidFill>
          <a:srgbClr val="F8F8F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</xdr:col>
      <xdr:colOff>31750</xdr:colOff>
      <xdr:row>5</xdr:row>
      <xdr:rowOff>177799</xdr:rowOff>
    </xdr:from>
    <xdr:to>
      <xdr:col>4</xdr:col>
      <xdr:colOff>485498</xdr:colOff>
      <xdr:row>50</xdr:row>
      <xdr:rowOff>9524</xdr:rowOff>
    </xdr:to>
    <xdr:sp macro="" textlink="">
      <xdr:nvSpPr>
        <xdr:cNvPr id="3" name="Rectangle: Top Corners Rounded 2">
          <a:extLst>
            <a:ext uri="{FF2B5EF4-FFF2-40B4-BE49-F238E27FC236}">
              <a16:creationId xmlns:a16="http://schemas.microsoft.com/office/drawing/2014/main" id="{E945F403-BFC9-4C28-96AD-FBB60679751D}"/>
            </a:ext>
          </a:extLst>
        </xdr:cNvPr>
        <xdr:cNvSpPr/>
      </xdr:nvSpPr>
      <xdr:spPr>
        <a:xfrm rot="16200000">
          <a:off x="-1619389" y="5105538"/>
          <a:ext cx="8404225" cy="453748"/>
        </a:xfrm>
        <a:prstGeom prst="round2SameRect">
          <a:avLst>
            <a:gd name="adj1" fmla="val 12304"/>
            <a:gd name="adj2" fmla="val 0"/>
          </a:avLst>
        </a:prstGeom>
        <a:solidFill>
          <a:srgbClr val="52144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152399</xdr:colOff>
      <xdr:row>9</xdr:row>
      <xdr:rowOff>115568</xdr:rowOff>
    </xdr:from>
    <xdr:to>
      <xdr:col>9</xdr:col>
      <xdr:colOff>561975</xdr:colOff>
      <xdr:row>21</xdr:row>
      <xdr:rowOff>76200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5506A91-A716-4B40-A1D3-D5D9D3CFEF6D}"/>
            </a:ext>
          </a:extLst>
        </xdr:cNvPr>
        <xdr:cNvSpPr/>
      </xdr:nvSpPr>
      <xdr:spPr>
        <a:xfrm>
          <a:off x="3057524" y="1830068"/>
          <a:ext cx="2733676" cy="2246632"/>
        </a:xfrm>
        <a:prstGeom prst="roundRect">
          <a:avLst>
            <a:gd name="adj" fmla="val 7034"/>
          </a:avLst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105292</xdr:colOff>
      <xdr:row>9</xdr:row>
      <xdr:rowOff>88913</xdr:rowOff>
    </xdr:from>
    <xdr:to>
      <xdr:col>13</xdr:col>
      <xdr:colOff>299805</xdr:colOff>
      <xdr:row>15</xdr:row>
      <xdr:rowOff>30678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509DF1B-ED25-4DF4-96F9-8B4D0DF01DA4}"/>
            </a:ext>
          </a:extLst>
        </xdr:cNvPr>
        <xdr:cNvSpPr/>
      </xdr:nvSpPr>
      <xdr:spPr>
        <a:xfrm>
          <a:off x="5915542" y="1803413"/>
          <a:ext cx="1937588" cy="1084765"/>
        </a:xfrm>
        <a:prstGeom prst="roundRect">
          <a:avLst>
            <a:gd name="adj" fmla="val 12173"/>
          </a:avLst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8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28573</xdr:colOff>
      <xdr:row>21</xdr:row>
      <xdr:rowOff>161925</xdr:rowOff>
    </xdr:from>
    <xdr:to>
      <xdr:col>16</xdr:col>
      <xdr:colOff>571499</xdr:colOff>
      <xdr:row>35</xdr:row>
      <xdr:rowOff>19050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5B42632-E7E2-4540-A48E-9E53B856A411}"/>
            </a:ext>
          </a:extLst>
        </xdr:cNvPr>
        <xdr:cNvSpPr/>
      </xdr:nvSpPr>
      <xdr:spPr>
        <a:xfrm>
          <a:off x="2933698" y="4162425"/>
          <a:ext cx="6934201" cy="2524125"/>
        </a:xfrm>
        <a:prstGeom prst="roundRect">
          <a:avLst>
            <a:gd name="adj" fmla="val 4643"/>
          </a:avLst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17</xdr:col>
      <xdr:colOff>171450</xdr:colOff>
      <xdr:row>9</xdr:row>
      <xdr:rowOff>38099</xdr:rowOff>
    </xdr:from>
    <xdr:to>
      <xdr:col>25</xdr:col>
      <xdr:colOff>104776</xdr:colOff>
      <xdr:row>28</xdr:row>
      <xdr:rowOff>95250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60C3150-1CCD-4E09-A400-CC2568C34D84}"/>
            </a:ext>
          </a:extLst>
        </xdr:cNvPr>
        <xdr:cNvSpPr/>
      </xdr:nvSpPr>
      <xdr:spPr>
        <a:xfrm>
          <a:off x="10048875" y="1752599"/>
          <a:ext cx="4581526" cy="3676651"/>
        </a:xfrm>
        <a:prstGeom prst="roundRect">
          <a:avLst>
            <a:gd name="adj" fmla="val 3778"/>
          </a:avLst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104775</xdr:colOff>
      <xdr:row>35</xdr:row>
      <xdr:rowOff>152400</xdr:rowOff>
    </xdr:from>
    <xdr:to>
      <xdr:col>16</xdr:col>
      <xdr:colOff>533400</xdr:colOff>
      <xdr:row>49</xdr:row>
      <xdr:rowOff>76199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9DA79B65-B8E6-4741-93E3-39579CCEE046}"/>
            </a:ext>
          </a:extLst>
        </xdr:cNvPr>
        <xdr:cNvSpPr/>
      </xdr:nvSpPr>
      <xdr:spPr>
        <a:xfrm>
          <a:off x="3009900" y="6819900"/>
          <a:ext cx="6819900" cy="2590799"/>
        </a:xfrm>
        <a:prstGeom prst="roundRect">
          <a:avLst>
            <a:gd name="adj" fmla="val 3543"/>
          </a:avLst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4</xdr:col>
      <xdr:colOff>27361</xdr:colOff>
      <xdr:row>8</xdr:row>
      <xdr:rowOff>8435</xdr:rowOff>
    </xdr:from>
    <xdr:to>
      <xdr:col>4</xdr:col>
      <xdr:colOff>481108</xdr:colOff>
      <xdr:row>10</xdr:row>
      <xdr:rowOff>93882</xdr:rowOff>
    </xdr:to>
    <xdr:pic>
      <xdr:nvPicPr>
        <xdr:cNvPr id="11" name="Picture 10" descr="Abstract shape icon">
          <a:extLst>
            <a:ext uri="{FF2B5EF4-FFF2-40B4-BE49-F238E27FC236}">
              <a16:creationId xmlns:a16="http://schemas.microsoft.com/office/drawing/2014/main" id="{D06E9611-E62B-4E68-9F8A-7950EEDBB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5761" y="1481635"/>
          <a:ext cx="453747" cy="453747"/>
        </a:xfrm>
        <a:prstGeom prst="rect">
          <a:avLst/>
        </a:prstGeom>
        <a:noFill/>
      </xdr:spPr>
    </xdr:pic>
    <xdr:clientData/>
  </xdr:twoCellAnchor>
  <xdr:twoCellAnchor>
    <xdr:from>
      <xdr:col>4</xdr:col>
      <xdr:colOff>27361</xdr:colOff>
      <xdr:row>10</xdr:row>
      <xdr:rowOff>163320</xdr:rowOff>
    </xdr:from>
    <xdr:to>
      <xdr:col>4</xdr:col>
      <xdr:colOff>433215</xdr:colOff>
      <xdr:row>10</xdr:row>
      <xdr:rowOff>163320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08DB6DA-A0F3-4B4F-B8E9-05BA700E96F9}"/>
            </a:ext>
          </a:extLst>
        </xdr:cNvPr>
        <xdr:cNvCxnSpPr>
          <a:cxnSpLocks/>
        </xdr:cNvCxnSpPr>
      </xdr:nvCxnSpPr>
      <xdr:spPr>
        <a:xfrm>
          <a:off x="2465761" y="2004820"/>
          <a:ext cx="405854" cy="0"/>
        </a:xfrm>
        <a:prstGeom prst="line">
          <a:avLst/>
        </a:prstGeom>
        <a:ln>
          <a:solidFill>
            <a:srgbClr val="B38FB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533405</xdr:colOff>
      <xdr:row>11</xdr:row>
      <xdr:rowOff>156309</xdr:rowOff>
    </xdr:from>
    <xdr:to>
      <xdr:col>23</xdr:col>
      <xdr:colOff>219075</xdr:colOff>
      <xdr:row>12</xdr:row>
      <xdr:rowOff>9525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9586BE5-0B2D-43D6-AD38-F23EEAAF99EA}"/>
            </a:ext>
          </a:extLst>
        </xdr:cNvPr>
        <xdr:cNvCxnSpPr>
          <a:cxnSpLocks/>
        </xdr:cNvCxnSpPr>
      </xdr:nvCxnSpPr>
      <xdr:spPr>
        <a:xfrm>
          <a:off x="10410830" y="2251809"/>
          <a:ext cx="3171820" cy="43716"/>
        </a:xfrm>
        <a:prstGeom prst="line">
          <a:avLst/>
        </a:prstGeom>
        <a:ln>
          <a:solidFill>
            <a:srgbClr val="B38FB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71278</xdr:colOff>
      <xdr:row>12</xdr:row>
      <xdr:rowOff>122754</xdr:rowOff>
    </xdr:from>
    <xdr:to>
      <xdr:col>4</xdr:col>
      <xdr:colOff>345598</xdr:colOff>
      <xdr:row>14</xdr:row>
      <xdr:rowOff>28774</xdr:rowOff>
    </xdr:to>
    <xdr:pic>
      <xdr:nvPicPr>
        <xdr:cNvPr id="14" name="Picture 13" descr="Layout">
          <a:extLst>
            <a:ext uri="{FF2B5EF4-FFF2-40B4-BE49-F238E27FC236}">
              <a16:creationId xmlns:a16="http://schemas.microsoft.com/office/drawing/2014/main" id="{772ACF99-37D6-494F-B129-6E630AFD6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9678" y="2332554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91652</xdr:colOff>
      <xdr:row>18</xdr:row>
      <xdr:rowOff>66104</xdr:rowOff>
    </xdr:from>
    <xdr:to>
      <xdr:col>4</xdr:col>
      <xdr:colOff>365972</xdr:colOff>
      <xdr:row>19</xdr:row>
      <xdr:rowOff>156274</xdr:rowOff>
    </xdr:to>
    <xdr:pic>
      <xdr:nvPicPr>
        <xdr:cNvPr id="15" name="Picture 14" descr="Open box">
          <a:extLst>
            <a:ext uri="{FF2B5EF4-FFF2-40B4-BE49-F238E27FC236}">
              <a16:creationId xmlns:a16="http://schemas.microsoft.com/office/drawing/2014/main" id="{F286772F-464F-482E-B30D-1B29EDE2C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0052" y="3380804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55949</xdr:colOff>
      <xdr:row>23</xdr:row>
      <xdr:rowOff>113635</xdr:rowOff>
    </xdr:from>
    <xdr:to>
      <xdr:col>4</xdr:col>
      <xdr:colOff>330269</xdr:colOff>
      <xdr:row>25</xdr:row>
      <xdr:rowOff>19655</xdr:rowOff>
    </xdr:to>
    <xdr:pic>
      <xdr:nvPicPr>
        <xdr:cNvPr id="16" name="Picture 15" descr="Stats ">
          <a:extLst>
            <a:ext uri="{FF2B5EF4-FFF2-40B4-BE49-F238E27FC236}">
              <a16:creationId xmlns:a16="http://schemas.microsoft.com/office/drawing/2014/main" id="{1BD709D8-08CC-4AA3-957B-77D0D1A68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4349" y="434908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81049</xdr:colOff>
      <xdr:row>47</xdr:row>
      <xdr:rowOff>139538</xdr:rowOff>
    </xdr:from>
    <xdr:to>
      <xdr:col>4</xdr:col>
      <xdr:colOff>435483</xdr:colOff>
      <xdr:row>49</xdr:row>
      <xdr:rowOff>134260</xdr:rowOff>
    </xdr:to>
    <xdr:pic>
      <xdr:nvPicPr>
        <xdr:cNvPr id="17" name="Picture 16" descr="Linkedin ">
          <a:extLst>
            <a:ext uri="{FF2B5EF4-FFF2-40B4-BE49-F238E27FC236}">
              <a16:creationId xmlns:a16="http://schemas.microsoft.com/office/drawing/2014/main" id="{5B41663F-5CF1-405C-B3A9-0AD04A91E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5149" y="9093038"/>
          <a:ext cx="354434" cy="375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257175</xdr:colOff>
      <xdr:row>9</xdr:row>
      <xdr:rowOff>152400</xdr:rowOff>
    </xdr:from>
    <xdr:to>
      <xdr:col>7</xdr:col>
      <xdr:colOff>558800</xdr:colOff>
      <xdr:row>12</xdr:row>
      <xdr:rowOff>19050</xdr:rowOff>
    </xdr:to>
    <xdr:sp macro="" textlink="">
      <xdr:nvSpPr>
        <xdr:cNvPr id="18" name="TextBox 28">
          <a:extLst>
            <a:ext uri="{FF2B5EF4-FFF2-40B4-BE49-F238E27FC236}">
              <a16:creationId xmlns:a16="http://schemas.microsoft.com/office/drawing/2014/main" id="{9CB67C54-1BB0-453B-BEEE-9AEEAB7FD3DF}"/>
            </a:ext>
          </a:extLst>
        </xdr:cNvPr>
        <xdr:cNvSpPr txBox="1"/>
      </xdr:nvSpPr>
      <xdr:spPr>
        <a:xfrm>
          <a:off x="3162300" y="1866900"/>
          <a:ext cx="1463675" cy="43815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solidFill>
                <a:schemeClr val="bg2">
                  <a:lumMod val="50000"/>
                </a:schemeClr>
              </a:solidFill>
            </a:rPr>
            <a:t>Revenue</a:t>
          </a:r>
        </a:p>
      </xdr:txBody>
    </xdr:sp>
    <xdr:clientData/>
  </xdr:twoCellAnchor>
  <xdr:twoCellAnchor>
    <xdr:from>
      <xdr:col>10</xdr:col>
      <xdr:colOff>123826</xdr:colOff>
      <xdr:row>10</xdr:row>
      <xdr:rowOff>28575</xdr:rowOff>
    </xdr:from>
    <xdr:to>
      <xdr:col>11</xdr:col>
      <xdr:colOff>466725</xdr:colOff>
      <xdr:row>12</xdr:row>
      <xdr:rowOff>47625</xdr:rowOff>
    </xdr:to>
    <xdr:sp macro="" textlink="">
      <xdr:nvSpPr>
        <xdr:cNvPr id="20" name="TextBox 41">
          <a:extLst>
            <a:ext uri="{FF2B5EF4-FFF2-40B4-BE49-F238E27FC236}">
              <a16:creationId xmlns:a16="http://schemas.microsoft.com/office/drawing/2014/main" id="{4A472B42-BD96-4EC7-8813-977D7C5CB4B6}"/>
            </a:ext>
          </a:extLst>
        </xdr:cNvPr>
        <xdr:cNvSpPr txBox="1"/>
      </xdr:nvSpPr>
      <xdr:spPr>
        <a:xfrm>
          <a:off x="5934076" y="1933575"/>
          <a:ext cx="923924" cy="40005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bg2">
                  <a:lumMod val="50000"/>
                </a:schemeClr>
              </a:solidFill>
            </a:rPr>
            <a:t>Total</a:t>
          </a:r>
          <a:r>
            <a:rPr lang="en-US" sz="1100" baseline="0">
              <a:solidFill>
                <a:schemeClr val="bg2">
                  <a:lumMod val="50000"/>
                </a:schemeClr>
              </a:solidFill>
            </a:rPr>
            <a:t> Qty</a:t>
          </a:r>
          <a:endParaRPr lang="en-US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17</xdr:col>
      <xdr:colOff>476250</xdr:colOff>
      <xdr:row>10</xdr:row>
      <xdr:rowOff>57150</xdr:rowOff>
    </xdr:from>
    <xdr:to>
      <xdr:col>24</xdr:col>
      <xdr:colOff>476250</xdr:colOff>
      <xdr:row>11</xdr:row>
      <xdr:rowOff>123825</xdr:rowOff>
    </xdr:to>
    <xdr:sp macro="" textlink="">
      <xdr:nvSpPr>
        <xdr:cNvPr id="21" name="TextBox 42">
          <a:extLst>
            <a:ext uri="{FF2B5EF4-FFF2-40B4-BE49-F238E27FC236}">
              <a16:creationId xmlns:a16="http://schemas.microsoft.com/office/drawing/2014/main" id="{799E8850-20EB-44B2-8F43-0A9F837F44F6}"/>
            </a:ext>
          </a:extLst>
        </xdr:cNvPr>
        <xdr:cNvSpPr txBox="1"/>
      </xdr:nvSpPr>
      <xdr:spPr>
        <a:xfrm>
          <a:off x="10353675" y="1962150"/>
          <a:ext cx="4067175" cy="25717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bg2">
                  <a:lumMod val="50000"/>
                </a:schemeClr>
              </a:solidFill>
            </a:rPr>
            <a:t>Sales</a:t>
          </a:r>
          <a:r>
            <a:rPr lang="en-US" sz="1100" baseline="0">
              <a:solidFill>
                <a:schemeClr val="bg2">
                  <a:lumMod val="50000"/>
                </a:schemeClr>
              </a:solidFill>
            </a:rPr>
            <a:t> by Region</a:t>
          </a:r>
          <a:endParaRPr lang="en-US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247651</xdr:colOff>
      <xdr:row>22</xdr:row>
      <xdr:rowOff>171450</xdr:rowOff>
    </xdr:from>
    <xdr:to>
      <xdr:col>12</xdr:col>
      <xdr:colOff>514351</xdr:colOff>
      <xdr:row>24</xdr:row>
      <xdr:rowOff>9525</xdr:rowOff>
    </xdr:to>
    <xdr:sp macro="" textlink="">
      <xdr:nvSpPr>
        <xdr:cNvPr id="22" name="TextBox 43">
          <a:extLst>
            <a:ext uri="{FF2B5EF4-FFF2-40B4-BE49-F238E27FC236}">
              <a16:creationId xmlns:a16="http://schemas.microsoft.com/office/drawing/2014/main" id="{8E349240-5C75-4E7B-82F5-BA8F8791D680}"/>
            </a:ext>
          </a:extLst>
        </xdr:cNvPr>
        <xdr:cNvSpPr txBox="1"/>
      </xdr:nvSpPr>
      <xdr:spPr>
        <a:xfrm>
          <a:off x="3152776" y="4362450"/>
          <a:ext cx="4333875" cy="21907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r>
            <a:rPr lang="en-US" sz="1400" kern="120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rPr>
            <a:t>Monthly sales Trend</a:t>
          </a:r>
        </a:p>
      </xdr:txBody>
    </xdr:sp>
    <xdr:clientData/>
  </xdr:twoCellAnchor>
  <xdr:twoCellAnchor>
    <xdr:from>
      <xdr:col>5</xdr:col>
      <xdr:colOff>133350</xdr:colOff>
      <xdr:row>36</xdr:row>
      <xdr:rowOff>66675</xdr:rowOff>
    </xdr:from>
    <xdr:to>
      <xdr:col>15</xdr:col>
      <xdr:colOff>581022</xdr:colOff>
      <xdr:row>38</xdr:row>
      <xdr:rowOff>123825</xdr:rowOff>
    </xdr:to>
    <xdr:sp macro="" textlink="">
      <xdr:nvSpPr>
        <xdr:cNvPr id="23" name="TextBox 44">
          <a:extLst>
            <a:ext uri="{FF2B5EF4-FFF2-40B4-BE49-F238E27FC236}">
              <a16:creationId xmlns:a16="http://schemas.microsoft.com/office/drawing/2014/main" id="{1E1A21A0-008A-457D-AB7D-CA26CFB752F2}"/>
            </a:ext>
          </a:extLst>
        </xdr:cNvPr>
        <xdr:cNvSpPr txBox="1"/>
      </xdr:nvSpPr>
      <xdr:spPr>
        <a:xfrm rot="10800000" flipV="1">
          <a:off x="3038475" y="6924675"/>
          <a:ext cx="6257922" cy="43815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rPr lang="en-US" sz="1400" kern="120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rPr>
            <a:t>Top selling product</a:t>
          </a:r>
        </a:p>
      </xdr:txBody>
    </xdr:sp>
    <xdr:clientData/>
  </xdr:twoCellAnchor>
  <xdr:twoCellAnchor>
    <xdr:from>
      <xdr:col>15</xdr:col>
      <xdr:colOff>533400</xdr:colOff>
      <xdr:row>24</xdr:row>
      <xdr:rowOff>104775</xdr:rowOff>
    </xdr:from>
    <xdr:to>
      <xdr:col>18</xdr:col>
      <xdr:colOff>155575</xdr:colOff>
      <xdr:row>29</xdr:row>
      <xdr:rowOff>19049</xdr:rowOff>
    </xdr:to>
    <xdr:sp macro="" textlink="">
      <xdr:nvSpPr>
        <xdr:cNvPr id="24" name="TextBox 45">
          <a:extLst>
            <a:ext uri="{FF2B5EF4-FFF2-40B4-BE49-F238E27FC236}">
              <a16:creationId xmlns:a16="http://schemas.microsoft.com/office/drawing/2014/main" id="{08374762-F86A-4A7E-BEF4-FF535682DD96}"/>
            </a:ext>
          </a:extLst>
        </xdr:cNvPr>
        <xdr:cNvSpPr txBox="1"/>
      </xdr:nvSpPr>
      <xdr:spPr>
        <a:xfrm>
          <a:off x="9248775" y="4676775"/>
          <a:ext cx="1365250" cy="86677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67516</xdr:colOff>
      <xdr:row>10</xdr:row>
      <xdr:rowOff>134657</xdr:rowOff>
    </xdr:from>
    <xdr:to>
      <xdr:col>9</xdr:col>
      <xdr:colOff>438991</xdr:colOff>
      <xdr:row>12</xdr:row>
      <xdr:rowOff>21618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149D73F4-D580-41C0-9F19-2AA8BCF52EAA}"/>
            </a:ext>
          </a:extLst>
        </xdr:cNvPr>
        <xdr:cNvSpPr/>
      </xdr:nvSpPr>
      <xdr:spPr>
        <a:xfrm>
          <a:off x="4715716" y="2039657"/>
          <a:ext cx="952500" cy="267961"/>
        </a:xfrm>
        <a:prstGeom prst="round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rgbClr val="F7D0EF"/>
            </a:solidFill>
          </a:endParaRPr>
        </a:p>
      </xdr:txBody>
    </xdr:sp>
    <xdr:clientData/>
  </xdr:twoCellAnchor>
  <xdr:twoCellAnchor>
    <xdr:from>
      <xdr:col>8</xdr:col>
      <xdr:colOff>495301</xdr:colOff>
      <xdr:row>10</xdr:row>
      <xdr:rowOff>152401</xdr:rowOff>
    </xdr:from>
    <xdr:to>
      <xdr:col>9</xdr:col>
      <xdr:colOff>466725</xdr:colOff>
      <xdr:row>12</xdr:row>
      <xdr:rowOff>19051</xdr:rowOff>
    </xdr:to>
    <xdr:sp macro="" textlink="">
      <xdr:nvSpPr>
        <xdr:cNvPr id="26" name="TextBox 37">
          <a:extLst>
            <a:ext uri="{FF2B5EF4-FFF2-40B4-BE49-F238E27FC236}">
              <a16:creationId xmlns:a16="http://schemas.microsoft.com/office/drawing/2014/main" id="{032EF32C-04A2-4EDE-A6A6-DA5C62A37547}"/>
            </a:ext>
          </a:extLst>
        </xdr:cNvPr>
        <xdr:cNvSpPr txBox="1"/>
      </xdr:nvSpPr>
      <xdr:spPr>
        <a:xfrm>
          <a:off x="5143501" y="2057401"/>
          <a:ext cx="552449" cy="24765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r>
            <a:rPr lang="en-US" sz="1000"/>
            <a:t>vs PY</a:t>
          </a:r>
        </a:p>
      </xdr:txBody>
    </xdr:sp>
    <xdr:clientData/>
  </xdr:twoCellAnchor>
  <xdr:twoCellAnchor>
    <xdr:from>
      <xdr:col>11</xdr:col>
      <xdr:colOff>467972</xdr:colOff>
      <xdr:row>9</xdr:row>
      <xdr:rowOff>168236</xdr:rowOff>
    </xdr:from>
    <xdr:to>
      <xdr:col>13</xdr:col>
      <xdr:colOff>286997</xdr:colOff>
      <xdr:row>11</xdr:row>
      <xdr:rowOff>61547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287FFE0A-E486-4EAE-9C6C-6B116B4EB965}"/>
            </a:ext>
          </a:extLst>
        </xdr:cNvPr>
        <xdr:cNvSpPr/>
      </xdr:nvSpPr>
      <xdr:spPr>
        <a:xfrm>
          <a:off x="6859247" y="1882736"/>
          <a:ext cx="981075" cy="274311"/>
        </a:xfrm>
        <a:prstGeom prst="round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rgbClr val="F7D0EF"/>
            </a:solidFill>
          </a:endParaRPr>
        </a:p>
      </xdr:txBody>
    </xdr:sp>
    <xdr:clientData/>
  </xdr:twoCellAnchor>
  <xdr:twoCellAnchor>
    <xdr:from>
      <xdr:col>16</xdr:col>
      <xdr:colOff>89740</xdr:colOff>
      <xdr:row>10</xdr:row>
      <xdr:rowOff>60116</xdr:rowOff>
    </xdr:from>
    <xdr:to>
      <xdr:col>17</xdr:col>
      <xdr:colOff>274393</xdr:colOff>
      <xdr:row>11</xdr:row>
      <xdr:rowOff>124817</xdr:rowOff>
    </xdr:to>
    <xdr:sp macro="" textlink="">
      <xdr:nvSpPr>
        <xdr:cNvPr id="30" name="TextBox 39">
          <a:extLst>
            <a:ext uri="{FF2B5EF4-FFF2-40B4-BE49-F238E27FC236}">
              <a16:creationId xmlns:a16="http://schemas.microsoft.com/office/drawing/2014/main" id="{81C89FE3-749B-4A7B-B6C3-76AE64A71029}"/>
            </a:ext>
          </a:extLst>
        </xdr:cNvPr>
        <xdr:cNvSpPr txBox="1"/>
      </xdr:nvSpPr>
      <xdr:spPr>
        <a:xfrm>
          <a:off x="9843340" y="1901616"/>
          <a:ext cx="794253" cy="24885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endParaRPr lang="en-US" sz="1000"/>
        </a:p>
      </xdr:txBody>
    </xdr:sp>
    <xdr:clientData/>
  </xdr:twoCellAnchor>
  <xdr:twoCellAnchor>
    <xdr:from>
      <xdr:col>7</xdr:col>
      <xdr:colOff>209550</xdr:colOff>
      <xdr:row>13</xdr:row>
      <xdr:rowOff>47626</xdr:rowOff>
    </xdr:from>
    <xdr:to>
      <xdr:col>9</xdr:col>
      <xdr:colOff>123825</xdr:colOff>
      <xdr:row>14</xdr:row>
      <xdr:rowOff>105977</xdr:rowOff>
    </xdr:to>
    <xdr:sp macro="" textlink="">
      <xdr:nvSpPr>
        <xdr:cNvPr id="32" name="TextBox 54">
          <a:extLst>
            <a:ext uri="{FF2B5EF4-FFF2-40B4-BE49-F238E27FC236}">
              <a16:creationId xmlns:a16="http://schemas.microsoft.com/office/drawing/2014/main" id="{B1ECB54F-6893-4869-BA41-157D8A3A7BD7}"/>
            </a:ext>
          </a:extLst>
        </xdr:cNvPr>
        <xdr:cNvSpPr txBox="1"/>
      </xdr:nvSpPr>
      <xdr:spPr>
        <a:xfrm>
          <a:off x="4276725" y="2524126"/>
          <a:ext cx="1076325" cy="24885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r>
            <a:rPr lang="en-US" sz="1000"/>
            <a:t>vs PY</a:t>
          </a:r>
        </a:p>
      </xdr:txBody>
    </xdr:sp>
    <xdr:clientData/>
  </xdr:twoCellAnchor>
  <xdr:twoCellAnchor>
    <xdr:from>
      <xdr:col>5</xdr:col>
      <xdr:colOff>200025</xdr:colOff>
      <xdr:row>12</xdr:row>
      <xdr:rowOff>47625</xdr:rowOff>
    </xdr:from>
    <xdr:to>
      <xdr:col>7</xdr:col>
      <xdr:colOff>514350</xdr:colOff>
      <xdr:row>15</xdr:row>
      <xdr:rowOff>123825</xdr:rowOff>
    </xdr:to>
    <xdr:sp macro="" textlink="Sheet2!B49">
      <xdr:nvSpPr>
        <xdr:cNvPr id="28" name="TextBox 27">
          <a:extLst>
            <a:ext uri="{FF2B5EF4-FFF2-40B4-BE49-F238E27FC236}">
              <a16:creationId xmlns:a16="http://schemas.microsoft.com/office/drawing/2014/main" id="{49673228-6BE1-4B46-AE78-106D36266DE7}"/>
            </a:ext>
          </a:extLst>
        </xdr:cNvPr>
        <xdr:cNvSpPr txBox="1"/>
      </xdr:nvSpPr>
      <xdr:spPr>
        <a:xfrm>
          <a:off x="3105150" y="2333625"/>
          <a:ext cx="1476375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3767647-5FAE-4AF1-A1B1-C84B45183129}" type="TxLink">
            <a:rPr lang="en-US" sz="24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$7M</a:t>
          </a:fld>
          <a:endParaRPr lang="en-NG" sz="2400"/>
        </a:p>
      </xdr:txBody>
    </xdr:sp>
    <xdr:clientData/>
  </xdr:twoCellAnchor>
  <xdr:twoCellAnchor>
    <xdr:from>
      <xdr:col>17</xdr:col>
      <xdr:colOff>457200</xdr:colOff>
      <xdr:row>9</xdr:row>
      <xdr:rowOff>123825</xdr:rowOff>
    </xdr:from>
    <xdr:to>
      <xdr:col>19</xdr:col>
      <xdr:colOff>314325</xdr:colOff>
      <xdr:row>11</xdr:row>
      <xdr:rowOff>76200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D011BFC-C021-47C6-94AE-7D713137D80C}"/>
            </a:ext>
          </a:extLst>
        </xdr:cNvPr>
        <xdr:cNvSpPr txBox="1"/>
      </xdr:nvSpPr>
      <xdr:spPr>
        <a:xfrm>
          <a:off x="10334625" y="1838325"/>
          <a:ext cx="10191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NG" sz="1100"/>
        </a:p>
      </xdr:txBody>
    </xdr:sp>
    <xdr:clientData/>
  </xdr:twoCellAnchor>
  <xdr:twoCellAnchor>
    <xdr:from>
      <xdr:col>5</xdr:col>
      <xdr:colOff>152400</xdr:colOff>
      <xdr:row>14</xdr:row>
      <xdr:rowOff>66675</xdr:rowOff>
    </xdr:from>
    <xdr:to>
      <xdr:col>9</xdr:col>
      <xdr:colOff>495300</xdr:colOff>
      <xdr:row>20</xdr:row>
      <xdr:rowOff>123825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7D077D52-03B1-4ACB-8E00-CAD86B433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106850</xdr:colOff>
      <xdr:row>15</xdr:row>
      <xdr:rowOff>136525</xdr:rowOff>
    </xdr:from>
    <xdr:to>
      <xdr:col>13</xdr:col>
      <xdr:colOff>301363</xdr:colOff>
      <xdr:row>21</xdr:row>
      <xdr:rowOff>78290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CB1EACF4-968D-414F-A0D0-70EDB4A6793E}"/>
            </a:ext>
          </a:extLst>
        </xdr:cNvPr>
        <xdr:cNvSpPr/>
      </xdr:nvSpPr>
      <xdr:spPr>
        <a:xfrm>
          <a:off x="5917100" y="2994025"/>
          <a:ext cx="1937588" cy="1084765"/>
        </a:xfrm>
        <a:prstGeom prst="roundRect">
          <a:avLst>
            <a:gd name="adj" fmla="val 12173"/>
          </a:avLst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8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266700</xdr:colOff>
      <xdr:row>11</xdr:row>
      <xdr:rowOff>171450</xdr:rowOff>
    </xdr:from>
    <xdr:to>
      <xdr:col>11</xdr:col>
      <xdr:colOff>495300</xdr:colOff>
      <xdr:row>14</xdr:row>
      <xdr:rowOff>76200</xdr:rowOff>
    </xdr:to>
    <xdr:sp macro="" textlink="Sheet2!G49">
      <xdr:nvSpPr>
        <xdr:cNvPr id="43" name="TextBox 42">
          <a:extLst>
            <a:ext uri="{FF2B5EF4-FFF2-40B4-BE49-F238E27FC236}">
              <a16:creationId xmlns:a16="http://schemas.microsoft.com/office/drawing/2014/main" id="{E4E8F814-C622-4B55-A977-74208F936EFE}"/>
            </a:ext>
          </a:extLst>
        </xdr:cNvPr>
        <xdr:cNvSpPr txBox="1"/>
      </xdr:nvSpPr>
      <xdr:spPr>
        <a:xfrm>
          <a:off x="6076950" y="2266950"/>
          <a:ext cx="809625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0A7C722-05FB-4AA2-8376-1C92B552F8C6}" type="TxLink">
            <a:rPr lang="en-US" sz="24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6.0K</a:t>
          </a:fld>
          <a:endParaRPr lang="en-NG" sz="24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266700</xdr:colOff>
      <xdr:row>9</xdr:row>
      <xdr:rowOff>171450</xdr:rowOff>
    </xdr:from>
    <xdr:to>
      <xdr:col>13</xdr:col>
      <xdr:colOff>266700</xdr:colOff>
      <xdr:row>11</xdr:row>
      <xdr:rowOff>85725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943C67B-C04F-44E1-8C1A-E1C0175DD180}"/>
            </a:ext>
          </a:extLst>
        </xdr:cNvPr>
        <xdr:cNvSpPr txBox="1"/>
      </xdr:nvSpPr>
      <xdr:spPr>
        <a:xfrm>
          <a:off x="7239000" y="1885950"/>
          <a:ext cx="5810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vs PY</a:t>
          </a:r>
          <a:endParaRPr lang="en-NG" sz="1100"/>
        </a:p>
      </xdr:txBody>
    </xdr:sp>
    <xdr:clientData/>
  </xdr:twoCellAnchor>
  <xdr:twoCellAnchor>
    <xdr:from>
      <xdr:col>16</xdr:col>
      <xdr:colOff>152400</xdr:colOff>
      <xdr:row>10</xdr:row>
      <xdr:rowOff>28575</xdr:rowOff>
    </xdr:from>
    <xdr:to>
      <xdr:col>18</xdr:col>
      <xdr:colOff>142875</xdr:colOff>
      <xdr:row>12</xdr:row>
      <xdr:rowOff>38100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9810FB8-7CD3-4C47-820F-DCDD96CC0C41}"/>
            </a:ext>
          </a:extLst>
        </xdr:cNvPr>
        <xdr:cNvSpPr txBox="1"/>
      </xdr:nvSpPr>
      <xdr:spPr>
        <a:xfrm>
          <a:off x="9448800" y="1933575"/>
          <a:ext cx="115252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NG" sz="1100"/>
        </a:p>
      </xdr:txBody>
    </xdr:sp>
    <xdr:clientData/>
  </xdr:twoCellAnchor>
  <xdr:twoCellAnchor>
    <xdr:from>
      <xdr:col>5</xdr:col>
      <xdr:colOff>95249</xdr:colOff>
      <xdr:row>24</xdr:row>
      <xdr:rowOff>66673</xdr:rowOff>
    </xdr:from>
    <xdr:to>
      <xdr:col>15</xdr:col>
      <xdr:colOff>571500</xdr:colOff>
      <xdr:row>34</xdr:row>
      <xdr:rowOff>85725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7C128C88-5439-4867-909A-39CC92F4F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123825</xdr:colOff>
      <xdr:row>16</xdr:row>
      <xdr:rowOff>28575</xdr:rowOff>
    </xdr:from>
    <xdr:to>
      <xdr:col>12</xdr:col>
      <xdr:colOff>171450</xdr:colOff>
      <xdr:row>18</xdr:row>
      <xdr:rowOff>123825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B76A3AA-9306-405E-A2B9-362FAB658AEA}"/>
            </a:ext>
          </a:extLst>
        </xdr:cNvPr>
        <xdr:cNvSpPr txBox="1"/>
      </xdr:nvSpPr>
      <xdr:spPr>
        <a:xfrm>
          <a:off x="5934075" y="3076575"/>
          <a:ext cx="1209675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Total Customer</a:t>
          </a:r>
          <a:endParaRPr lang="en-NG" sz="1100"/>
        </a:p>
      </xdr:txBody>
    </xdr:sp>
    <xdr:clientData/>
  </xdr:twoCellAnchor>
  <xdr:twoCellAnchor>
    <xdr:from>
      <xdr:col>13</xdr:col>
      <xdr:colOff>411650</xdr:colOff>
      <xdr:row>9</xdr:row>
      <xdr:rowOff>98425</xdr:rowOff>
    </xdr:from>
    <xdr:to>
      <xdr:col>17</xdr:col>
      <xdr:colOff>25138</xdr:colOff>
      <xdr:row>15</xdr:row>
      <xdr:rowOff>40190</xdr:rowOff>
    </xdr:to>
    <xdr:sp macro="" textlink="">
      <xdr:nvSpPr>
        <xdr:cNvPr id="54" name="Rectangle: Rounded Corners 53">
          <a:extLst>
            <a:ext uri="{FF2B5EF4-FFF2-40B4-BE49-F238E27FC236}">
              <a16:creationId xmlns:a16="http://schemas.microsoft.com/office/drawing/2014/main" id="{42A7D6CB-1EA4-4E51-BB0F-0273F98AEF2A}"/>
            </a:ext>
          </a:extLst>
        </xdr:cNvPr>
        <xdr:cNvSpPr/>
      </xdr:nvSpPr>
      <xdr:spPr>
        <a:xfrm>
          <a:off x="7964975" y="1812925"/>
          <a:ext cx="1937588" cy="1084765"/>
        </a:xfrm>
        <a:prstGeom prst="roundRect">
          <a:avLst>
            <a:gd name="adj" fmla="val 12173"/>
          </a:avLst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8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402125</xdr:colOff>
      <xdr:row>15</xdr:row>
      <xdr:rowOff>127000</xdr:rowOff>
    </xdr:from>
    <xdr:to>
      <xdr:col>17</xdr:col>
      <xdr:colOff>15613</xdr:colOff>
      <xdr:row>21</xdr:row>
      <xdr:rowOff>68765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48179346-5B55-4CAF-B0E7-567F542329DA}"/>
            </a:ext>
          </a:extLst>
        </xdr:cNvPr>
        <xdr:cNvSpPr/>
      </xdr:nvSpPr>
      <xdr:spPr>
        <a:xfrm>
          <a:off x="7955450" y="2984500"/>
          <a:ext cx="1937588" cy="1084765"/>
        </a:xfrm>
        <a:prstGeom prst="roundRect">
          <a:avLst>
            <a:gd name="adj" fmla="val 12173"/>
          </a:avLst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8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428625</xdr:colOff>
      <xdr:row>10</xdr:row>
      <xdr:rowOff>28574</xdr:rowOff>
    </xdr:from>
    <xdr:to>
      <xdr:col>16</xdr:col>
      <xdr:colOff>266700</xdr:colOff>
      <xdr:row>11</xdr:row>
      <xdr:rowOff>133349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D93DCB5-980F-47F5-A561-9B8B90F375F7}"/>
            </a:ext>
          </a:extLst>
        </xdr:cNvPr>
        <xdr:cNvSpPr txBox="1"/>
      </xdr:nvSpPr>
      <xdr:spPr>
        <a:xfrm>
          <a:off x="7981950" y="1933574"/>
          <a:ext cx="15811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kern="120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rPr>
            <a:t>Total Order</a:t>
          </a:r>
          <a:endParaRPr lang="en-NG" sz="1400" kern="1200">
            <a:solidFill>
              <a:schemeClr val="bg2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428626</xdr:colOff>
      <xdr:row>11</xdr:row>
      <xdr:rowOff>95250</xdr:rowOff>
    </xdr:from>
    <xdr:to>
      <xdr:col>16</xdr:col>
      <xdr:colOff>1</xdr:colOff>
      <xdr:row>13</xdr:row>
      <xdr:rowOff>114300</xdr:rowOff>
    </xdr:to>
    <xdr:sp macro="" textlink="Sheet2!K49">
      <xdr:nvSpPr>
        <xdr:cNvPr id="59" name="TextBox 58">
          <a:extLst>
            <a:ext uri="{FF2B5EF4-FFF2-40B4-BE49-F238E27FC236}">
              <a16:creationId xmlns:a16="http://schemas.microsoft.com/office/drawing/2014/main" id="{F8678631-7D01-4F7E-8619-152FADA0F6F5}"/>
            </a:ext>
          </a:extLst>
        </xdr:cNvPr>
        <xdr:cNvSpPr txBox="1"/>
      </xdr:nvSpPr>
      <xdr:spPr>
        <a:xfrm>
          <a:off x="7981951" y="2190750"/>
          <a:ext cx="13144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B5BF6552-6DA7-42C2-BB2D-F7D61003619C}" type="TxLink">
            <a:rPr lang="en-US" sz="24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662</a:t>
          </a:fld>
          <a:endParaRPr lang="en-NG" sz="24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13</xdr:col>
      <xdr:colOff>457200</xdr:colOff>
      <xdr:row>16</xdr:row>
      <xdr:rowOff>38100</xdr:rowOff>
    </xdr:from>
    <xdr:to>
      <xdr:col>16</xdr:col>
      <xdr:colOff>219075</xdr:colOff>
      <xdr:row>18</xdr:row>
      <xdr:rowOff>85725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33F9427-D09A-4329-B1C8-68C2652D9FC4}"/>
            </a:ext>
          </a:extLst>
        </xdr:cNvPr>
        <xdr:cNvSpPr txBox="1"/>
      </xdr:nvSpPr>
      <xdr:spPr>
        <a:xfrm>
          <a:off x="8010525" y="3086100"/>
          <a:ext cx="15049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kern="120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rPr>
            <a:t>AOV</a:t>
          </a:r>
          <a:endParaRPr lang="en-NG" sz="1400" kern="1200">
            <a:solidFill>
              <a:schemeClr val="bg2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457200</xdr:colOff>
      <xdr:row>18</xdr:row>
      <xdr:rowOff>38100</xdr:rowOff>
    </xdr:from>
    <xdr:to>
      <xdr:col>15</xdr:col>
      <xdr:colOff>504825</xdr:colOff>
      <xdr:row>20</xdr:row>
      <xdr:rowOff>28575</xdr:rowOff>
    </xdr:to>
    <xdr:sp macro="" textlink="Sheet2!L49">
      <xdr:nvSpPr>
        <xdr:cNvPr id="61" name="TextBox 60">
          <a:extLst>
            <a:ext uri="{FF2B5EF4-FFF2-40B4-BE49-F238E27FC236}">
              <a16:creationId xmlns:a16="http://schemas.microsoft.com/office/drawing/2014/main" id="{1F10358D-EA05-4012-BBAD-DA728D4858C0}"/>
            </a:ext>
          </a:extLst>
        </xdr:cNvPr>
        <xdr:cNvSpPr txBox="1"/>
      </xdr:nvSpPr>
      <xdr:spPr>
        <a:xfrm>
          <a:off x="8010525" y="3467100"/>
          <a:ext cx="12096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86CE4B2-FC41-415C-8080-9C9C30A7D495}" type="TxLink">
            <a:rPr lang="en-US" sz="24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10.6K</a:t>
          </a:fld>
          <a:endParaRPr lang="en-NG" sz="24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10</xdr:col>
      <xdr:colOff>247650</xdr:colOff>
      <xdr:row>17</xdr:row>
      <xdr:rowOff>133350</xdr:rowOff>
    </xdr:from>
    <xdr:to>
      <xdr:col>12</xdr:col>
      <xdr:colOff>228600</xdr:colOff>
      <xdr:row>20</xdr:row>
      <xdr:rowOff>104775</xdr:rowOff>
    </xdr:to>
    <xdr:sp macro="" textlink="Sheet2!I49">
      <xdr:nvSpPr>
        <xdr:cNvPr id="62" name="TextBox 61">
          <a:extLst>
            <a:ext uri="{FF2B5EF4-FFF2-40B4-BE49-F238E27FC236}">
              <a16:creationId xmlns:a16="http://schemas.microsoft.com/office/drawing/2014/main" id="{8CE73A24-A13B-4FE7-9B21-1C0EE7F2EC4E}"/>
            </a:ext>
          </a:extLst>
        </xdr:cNvPr>
        <xdr:cNvSpPr txBox="1"/>
      </xdr:nvSpPr>
      <xdr:spPr>
        <a:xfrm>
          <a:off x="6057900" y="3371850"/>
          <a:ext cx="1143000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31CA10B-49E9-4EA4-AE90-960A14080C8B}" type="TxLink">
            <a:rPr lang="en-US" sz="24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30</a:t>
          </a:fld>
          <a:endParaRPr lang="en-NG" sz="24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5</xdr:col>
      <xdr:colOff>38100</xdr:colOff>
      <xdr:row>37</xdr:row>
      <xdr:rowOff>47625</xdr:rowOff>
    </xdr:from>
    <xdr:to>
      <xdr:col>10</xdr:col>
      <xdr:colOff>504825</xdr:colOff>
      <xdr:row>49</xdr:row>
      <xdr:rowOff>66675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7EB3C846-A0AE-414F-8BD9-2425D54C0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154475</xdr:colOff>
      <xdr:row>29</xdr:row>
      <xdr:rowOff>69849</xdr:rowOff>
    </xdr:from>
    <xdr:to>
      <xdr:col>25</xdr:col>
      <xdr:colOff>87801</xdr:colOff>
      <xdr:row>49</xdr:row>
      <xdr:rowOff>95250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696C7996-39D7-4635-98CD-2D7B3B399251}"/>
            </a:ext>
          </a:extLst>
        </xdr:cNvPr>
        <xdr:cNvSpPr/>
      </xdr:nvSpPr>
      <xdr:spPr>
        <a:xfrm>
          <a:off x="10031900" y="5594349"/>
          <a:ext cx="4581526" cy="3835401"/>
        </a:xfrm>
        <a:prstGeom prst="roundRect">
          <a:avLst>
            <a:gd name="adj" fmla="val 3778"/>
          </a:avLst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461136111109" createdVersion="5" refreshedVersion="6" minRefreshableVersion="3" recordCount="0" supportSubquery="1" supportAdvancedDrill="1" xr:uid="{C6537339-2F55-4360-9BF2-7981A9B2036E}">
  <cacheSource type="external" connectionId="6"/>
  <cacheFields count="10">
    <cacheField name="[Measures].[PY sales]" caption="PY sales" numFmtId="0" hierarchy="41" level="32767"/>
    <cacheField name="[Measures].[Total Qty]" caption="Total Qty" numFmtId="0" hierarchy="42" level="32767"/>
    <cacheField name="[Measures].[PY Qty]" caption="PY Qty" numFmtId="0" hierarchy="43" level="32767"/>
    <cacheField name="[Measures].[Total customers]" caption="Total customers" numFmtId="0" hierarchy="44" level="32767"/>
    <cacheField name="[Measures].[PY customers]" caption="PY customers" numFmtId="0" hierarchy="45" level="32767"/>
    <cacheField name="[Measures].[Total Order]" caption="Total Order" numFmtId="0" hierarchy="46" level="32767"/>
    <cacheField name="[Measures].[AOV]" caption="AOV" numFmtId="0" hierarchy="47" level="32767"/>
    <cacheField name="[Measures].[PY Orders]" caption="PY Orders" numFmtId="0" hierarchy="48" level="32767"/>
    <cacheField name="[Measures].[PY AOV]" caption="PY AOV" numFmtId="0" hierarchy="49" level="32767"/>
    <cacheField name="[Measures].[YOY Sales]" caption="YOY Sales" numFmtId="0" hierarchy="50" level="32767"/>
  </cacheFields>
  <cacheHierarchies count="6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 oneField="1">
      <fieldsUsage count="1">
        <fieldUsage x="0"/>
      </fieldsUsage>
    </cacheHierarchy>
    <cacheHierarchy uniqueName="[Measures].[Total Qty]" caption="Total Qty" measure="1" displayFolder="" measureGroup="Customers" count="0" oneField="1">
      <fieldsUsage count="1">
        <fieldUsage x="1"/>
      </fieldsUsage>
    </cacheHierarchy>
    <cacheHierarchy uniqueName="[Measures].[PY Qty]" caption="PY Qty" measure="1" displayFolder="" measureGroup="Customers" count="0" oneField="1">
      <fieldsUsage count="1">
        <fieldUsage x="2"/>
      </fieldsUsage>
    </cacheHierarchy>
    <cacheHierarchy uniqueName="[Measures].[Total customers]" caption="Total customers" measure="1" displayFolder="" measureGroup="Customers" count="0" oneField="1">
      <fieldsUsage count="1">
        <fieldUsage x="3"/>
      </fieldsUsage>
    </cacheHierarchy>
    <cacheHierarchy uniqueName="[Measures].[PY customers]" caption="PY customers" measure="1" displayFolder="" measureGroup="Customers" count="0" oneField="1">
      <fieldsUsage count="1">
        <fieldUsage x="4"/>
      </fieldsUsage>
    </cacheHierarchy>
    <cacheHierarchy uniqueName="[Measures].[Total Order]" caption="Total Order" measure="1" displayFolder="" measureGroup="Customers" count="0" oneField="1">
      <fieldsUsage count="1">
        <fieldUsage x="5"/>
      </fieldsUsage>
    </cacheHierarchy>
    <cacheHierarchy uniqueName="[Measures].[AOV]" caption="AOV" measure="1" displayFolder="" measureGroup="Customers" count="0" oneField="1">
      <fieldsUsage count="1">
        <fieldUsage x="6"/>
      </fieldsUsage>
    </cacheHierarchy>
    <cacheHierarchy uniqueName="[Measures].[PY Orders]" caption="PY Orders" measure="1" displayFolder="" measureGroup="Customers" count="0" oneField="1">
      <fieldsUsage count="1">
        <fieldUsage x="7"/>
      </fieldsUsage>
    </cacheHierarchy>
    <cacheHierarchy uniqueName="[Measures].[PY AOV]" caption="PY AOV" measure="1" displayFolder="" measureGroup="Customers" count="0" oneField="1">
      <fieldsUsage count="1">
        <fieldUsage x="8"/>
      </fieldsUsage>
    </cacheHierarchy>
    <cacheHierarchy uniqueName="[Measures].[YOY Sales]" caption="YOY Sales" measure="1" displayFolder="" measureGroup="Customers" count="0" oneField="1">
      <fieldsUsage count="1">
        <fieldUsage x="9"/>
      </fieldsUsage>
    </cacheHierarchy>
    <cacheHierarchy uniqueName="[Measures].[Growth order]" caption="Growth order" measure="1" displayFolder="" measureGroup="Customers" count="0"/>
    <cacheHierarchy uniqueName="[Measures].[Growth customers]" caption="Growth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Growth AOV]" caption="Growth AOV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461138194441" createdVersion="6" refreshedVersion="6" minRefreshableVersion="3" recordCount="0" supportSubquery="1" supportAdvancedDrill="1" xr:uid="{5824B81D-6900-4226-8948-ACAF1B386D7F}">
  <cacheSource type="external" connectionId="6"/>
  <cacheFields count="1">
    <cacheField name="[Measures].[Total Revenue]" caption="Total Revenue" numFmtId="0" hierarchy="38" level="32767"/>
  </cacheFields>
  <cacheHierarchies count="6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 oneField="1">
      <fieldsUsage count="1">
        <fieldUsage x="0"/>
      </fieldsUsage>
    </cacheHierarchy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/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PY customers]" caption="PY customers" measure="1" displayFolder="" measureGroup="Customers" count="0"/>
    <cacheHierarchy uniqueName="[Measures].[Total Order]" caption="Total Order" measure="1" displayFolder="" measureGroup="Customers" count="0"/>
    <cacheHierarchy uniqueName="[Measures].[AOV]" caption="AOV" measure="1" displayFolder="" measureGroup="Customers" count="0"/>
    <cacheHierarchy uniqueName="[Measures].[PY Orders]" caption="PY Orders" measure="1" displayFolder="" measureGroup="Customers" count="0"/>
    <cacheHierarchy uniqueName="[Measures].[PY AOV]" caption="PY AOV" measure="1" displayFolder="" measureGroup="Customers" count="0"/>
    <cacheHierarchy uniqueName="[Measures].[YOY Sales]" caption="YOY Sales" measure="1" displayFolder="" measureGroup="Customers" count="0"/>
    <cacheHierarchy uniqueName="[Measures].[Growth order]" caption="Growth order" measure="1" displayFolder="" measureGroup="Customers" count="0"/>
    <cacheHierarchy uniqueName="[Measures].[Growth customers]" caption="Growth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Growth AOV]" caption="Growth AOV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461139236111" createdVersion="6" refreshedVersion="6" minRefreshableVersion="3" recordCount="0" supportSubquery="1" supportAdvancedDrill="1" xr:uid="{98142144-B052-4186-BFC3-3BC2F5BD931E}">
  <cacheSource type="external" connectionId="6"/>
  <cacheFields count="2">
    <cacheField name="[Measures].[Total Revenue]" caption="Total Revenue" numFmtId="0" hierarchy="38" level="32767"/>
    <cacheField name="[Stores].[Region].[Region]" caption="Region" numFmtId="0" hierarchy="17" level="1">
      <sharedItems count="10">
        <s v="Ashanti"/>
        <s v="Brong-Ahafo"/>
        <s v="Central"/>
        <s v="Eastern"/>
        <s v="Greater Accra"/>
        <s v="Northern"/>
        <s v="Upper East"/>
        <s v="Upper West"/>
        <s v="Volta"/>
        <s v="Western"/>
      </sharedItems>
    </cacheField>
  </cacheFields>
  <cacheHierarchies count="6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2" memberValueDatatype="130" unbalanced="0">
      <fieldsUsage count="2">
        <fieldUsage x="-1"/>
        <fieldUsage x="1"/>
      </fieldsUsage>
    </cacheHierarchy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 oneField="1">
      <fieldsUsage count="1">
        <fieldUsage x="0"/>
      </fieldsUsage>
    </cacheHierarchy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/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PY customers]" caption="PY customers" measure="1" displayFolder="" measureGroup="Customers" count="0"/>
    <cacheHierarchy uniqueName="[Measures].[Total Order]" caption="Total Order" measure="1" displayFolder="" measureGroup="Customers" count="0"/>
    <cacheHierarchy uniqueName="[Measures].[AOV]" caption="AOV" measure="1" displayFolder="" measureGroup="Customers" count="0"/>
    <cacheHierarchy uniqueName="[Measures].[PY Orders]" caption="PY Orders" measure="1" displayFolder="" measureGroup="Customers" count="0"/>
    <cacheHierarchy uniqueName="[Measures].[PY AOV]" caption="PY AOV" measure="1" displayFolder="" measureGroup="Customers" count="0"/>
    <cacheHierarchy uniqueName="[Measures].[YOY Sales]" caption="YOY Sales" measure="1" displayFolder="" measureGroup="Customers" count="0"/>
    <cacheHierarchy uniqueName="[Measures].[Growth order]" caption="Growth order" measure="1" displayFolder="" measureGroup="Customers" count="0"/>
    <cacheHierarchy uniqueName="[Measures].[Growth customers]" caption="Growth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Growth AOV]" caption="Growth AOV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461140162035" createdVersion="6" refreshedVersion="6" minRefreshableVersion="3" recordCount="0" supportSubquery="1" supportAdvancedDrill="1" xr:uid="{3C23FF1E-A756-4038-90B9-161988FE4474}">
  <cacheSource type="external" connectionId="6"/>
  <cacheFields count="3">
    <cacheField name="[Products].[Product Name].[Product Name]" caption="Product Name" numFmtId="0" hierarchy="14" level="1">
      <sharedItems count="5">
        <s v="6in1 Screen Cleaning Kit Cloth Wipe Brush TV Tablet Laptop Computer Lens Cleaner"/>
        <s v="Geilienergy BT183342 BT283342 BT166342 BT266342 BT162342 BT262342 Battery"/>
        <s v="H17T Bluetooth Earphone With Charging Case - White"/>
        <s v="Replacement Battery BT162342 / BT262342 for Vtech AT&amp;T Cordless Telephones CS6114"/>
        <s v="TV One 1RK-4RU-PSU 4RU 250w Power supply and accessories"/>
      </sharedItems>
    </cacheField>
    <cacheField name="[Products].[Sub-Category].[Sub-Category]" caption="Sub-Category" numFmtId="0" hierarchy="13" level="1">
      <sharedItems count="8">
        <s v="Accessories_Supplies"/>
        <s v="Home Audio"/>
        <s v="Home_Kitchen"/>
        <s v="Laptop_Desktop accessories"/>
        <s v="Mobile Phones"/>
        <s v="Telephones_Accessories"/>
        <s v="Television"/>
        <s v="Wearable Technology"/>
      </sharedItems>
    </cacheField>
    <cacheField name="[Measures].[Total Revenue]" caption="Total Revenue" numFmtId="0" hierarchy="38" level="32767"/>
  </cacheFields>
  <cacheHierarchies count="6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Product Name]" caption="Product Name" attribute="1" defaultMemberUniqueName="[Products].[Product Name].[All]" allUniqueName="[Products].[Product Name].[All]" dimensionUniqueName="[Products]" displayFolder="" count="2" memberValueDatatype="130" unbalanced="0">
      <fieldsUsage count="2">
        <fieldUsage x="-1"/>
        <fieldUsage x="0"/>
      </fieldsUsage>
    </cacheHierarchy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 oneField="1">
      <fieldsUsage count="1">
        <fieldUsage x="2"/>
      </fieldsUsage>
    </cacheHierarchy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/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PY customers]" caption="PY customers" measure="1" displayFolder="" measureGroup="Customers" count="0"/>
    <cacheHierarchy uniqueName="[Measures].[Total Order]" caption="Total Order" measure="1" displayFolder="" measureGroup="Customers" count="0"/>
    <cacheHierarchy uniqueName="[Measures].[AOV]" caption="AOV" measure="1" displayFolder="" measureGroup="Customers" count="0"/>
    <cacheHierarchy uniqueName="[Measures].[PY Orders]" caption="PY Orders" measure="1" displayFolder="" measureGroup="Customers" count="0"/>
    <cacheHierarchy uniqueName="[Measures].[PY AOV]" caption="PY AOV" measure="1" displayFolder="" measureGroup="Customers" count="0"/>
    <cacheHierarchy uniqueName="[Measures].[YOY Sales]" caption="YOY Sales" measure="1" displayFolder="" measureGroup="Customers" count="0"/>
    <cacheHierarchy uniqueName="[Measures].[Growth order]" caption="Growth order" measure="1" displayFolder="" measureGroup="Customers" count="0"/>
    <cacheHierarchy uniqueName="[Measures].[Growth customers]" caption="Growth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Growth AOV]" caption="Growth AOV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461141319443" createdVersion="6" refreshedVersion="6" minRefreshableVersion="3" recordCount="0" supportSubquery="1" supportAdvancedDrill="1" xr:uid="{527A0079-630E-4993-ACD2-BA7D3A2BD92E}">
  <cacheSource type="external" connectionId="6"/>
  <cacheFields count="2"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Total Revenue]" caption="Total Revenue" numFmtId="0" hierarchy="38" level="32767"/>
  </cacheFields>
  <cacheHierarchies count="6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 oneField="1">
      <fieldsUsage count="1">
        <fieldUsage x="1"/>
      </fieldsUsage>
    </cacheHierarchy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/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PY customers]" caption="PY customers" measure="1" displayFolder="" measureGroup="Customers" count="0"/>
    <cacheHierarchy uniqueName="[Measures].[Total Order]" caption="Total Order" measure="1" displayFolder="" measureGroup="Customers" count="0"/>
    <cacheHierarchy uniqueName="[Measures].[AOV]" caption="AOV" measure="1" displayFolder="" measureGroup="Customers" count="0"/>
    <cacheHierarchy uniqueName="[Measures].[PY Orders]" caption="PY Orders" measure="1" displayFolder="" measureGroup="Customers" count="0"/>
    <cacheHierarchy uniqueName="[Measures].[PY AOV]" caption="PY AOV" measure="1" displayFolder="" measureGroup="Customers" count="0"/>
    <cacheHierarchy uniqueName="[Measures].[YOY Sales]" caption="YOY Sales" measure="1" displayFolder="" measureGroup="Customers" count="0"/>
    <cacheHierarchy uniqueName="[Measures].[Growth order]" caption="Growth order" measure="1" displayFolder="" measureGroup="Customers" count="0"/>
    <cacheHierarchy uniqueName="[Measures].[Growth customers]" caption="Growth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Growth AOV]" caption="Growth AOV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461142476852" createdVersion="6" refreshedVersion="6" minRefreshableVersion="3" recordCount="0" supportSubquery="1" supportAdvancedDrill="1" xr:uid="{EE4E39F0-893E-4ED9-8103-6A5BAA757124}">
  <cacheSource type="external" connectionId="6"/>
  <cacheFields count="2"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PY customers]" caption="PY customers" numFmtId="0" hierarchy="45" level="32767"/>
  </cacheFields>
  <cacheHierarchies count="6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/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PY customers]" caption="PY customers" measure="1" displayFolder="" measureGroup="Customers" count="0" oneField="1">
      <fieldsUsage count="1">
        <fieldUsage x="1"/>
      </fieldsUsage>
    </cacheHierarchy>
    <cacheHierarchy uniqueName="[Measures].[Total Order]" caption="Total Order" measure="1" displayFolder="" measureGroup="Customers" count="0"/>
    <cacheHierarchy uniqueName="[Measures].[AOV]" caption="AOV" measure="1" displayFolder="" measureGroup="Customers" count="0"/>
    <cacheHierarchy uniqueName="[Measures].[PY Orders]" caption="PY Orders" measure="1" displayFolder="" measureGroup="Customers" count="0"/>
    <cacheHierarchy uniqueName="[Measures].[PY AOV]" caption="PY AOV" measure="1" displayFolder="" measureGroup="Customers" count="0"/>
    <cacheHierarchy uniqueName="[Measures].[YOY Sales]" caption="YOY Sales" measure="1" displayFolder="" measureGroup="Customers" count="0"/>
    <cacheHierarchy uniqueName="[Measures].[Growth order]" caption="Growth order" measure="1" displayFolder="" measureGroup="Customers" count="0"/>
    <cacheHierarchy uniqueName="[Measures].[Growth customers]" caption="Growth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Growth AOV]" caption="Growth AOV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461143402776" createdVersion="6" refreshedVersion="6" minRefreshableVersion="3" recordCount="0" supportSubquery="1" supportAdvancedDrill="1" xr:uid="{417658E0-A929-4AC6-BCBF-DB11BF34AA70}">
  <cacheSource type="external" connectionId="6"/>
  <cacheFields count="2"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Total Revenue]" caption="Total Revenue" numFmtId="0" hierarchy="38" level="32767"/>
  </cacheFields>
  <cacheHierarchies count="6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 oneField="1">
      <fieldsUsage count="1">
        <fieldUsage x="1"/>
      </fieldsUsage>
    </cacheHierarchy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/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PY customers]" caption="PY customers" measure="1" displayFolder="" measureGroup="Customers" count="0"/>
    <cacheHierarchy uniqueName="[Measures].[Total Order]" caption="Total Order" measure="1" displayFolder="" measureGroup="Customers" count="0"/>
    <cacheHierarchy uniqueName="[Measures].[AOV]" caption="AOV" measure="1" displayFolder="" measureGroup="Customers" count="0"/>
    <cacheHierarchy uniqueName="[Measures].[PY Orders]" caption="PY Orders" measure="1" displayFolder="" measureGroup="Customers" count="0"/>
    <cacheHierarchy uniqueName="[Measures].[PY AOV]" caption="PY AOV" measure="1" displayFolder="" measureGroup="Customers" count="0"/>
    <cacheHierarchy uniqueName="[Measures].[YOY Sales]" caption="YOY Sales" measure="1" displayFolder="" measureGroup="Customers" count="0"/>
    <cacheHierarchy uniqueName="[Measures].[Growth order]" caption="Growth order" measure="1" displayFolder="" measureGroup="Customers" count="0"/>
    <cacheHierarchy uniqueName="[Measures].[Growth customers]" caption="Growth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Growth AOV]" caption="Growth AOV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461144560184" createdVersion="6" refreshedVersion="6" minRefreshableVersion="3" recordCount="0" supportSubquery="1" supportAdvancedDrill="1" xr:uid="{08038EF6-7ED7-41A1-A98C-014BC60BD272}">
  <cacheSource type="external" connectionId="6"/>
  <cacheFields count="2">
    <cacheField name="[Measures].[Total Qty]" caption="Total Qty" numFmtId="0" hierarchy="42" level="32767"/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cacheHierarchies count="6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1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 oneField="1">
      <fieldsUsage count="1">
        <fieldUsage x="0"/>
      </fieldsUsage>
    </cacheHierarchy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PY customers]" caption="PY customers" measure="1" displayFolder="" measureGroup="Customers" count="0"/>
    <cacheHierarchy uniqueName="[Measures].[Total Order]" caption="Total Order" measure="1" displayFolder="" measureGroup="Customers" count="0"/>
    <cacheHierarchy uniqueName="[Measures].[AOV]" caption="AOV" measure="1" displayFolder="" measureGroup="Customers" count="0"/>
    <cacheHierarchy uniqueName="[Measures].[PY Orders]" caption="PY Orders" measure="1" displayFolder="" measureGroup="Customers" count="0"/>
    <cacheHierarchy uniqueName="[Measures].[PY AOV]" caption="PY AOV" measure="1" displayFolder="" measureGroup="Customers" count="0"/>
    <cacheHierarchy uniqueName="[Measures].[YOY Sales]" caption="YOY Sales" measure="1" displayFolder="" measureGroup="Customers" count="0"/>
    <cacheHierarchy uniqueName="[Measures].[Growth order]" caption="Growth order" measure="1" displayFolder="" measureGroup="Customers" count="0"/>
    <cacheHierarchy uniqueName="[Measures].[Growth customers]" caption="Growth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Growth AOV]" caption="Growth AOV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461145370369" createdVersion="5" refreshedVersion="6" minRefreshableVersion="3" recordCount="0" supportSubquery="1" supportAdvancedDrill="1" xr:uid="{189FCC1A-B2F7-4209-BD84-F692A2FAE801}">
  <cacheSource type="external" connectionId="6"/>
  <cacheFields count="1">
    <cacheField name="[Measures].[Total Revenue]" caption="Total Revenue" numFmtId="0" hierarchy="38" level="32767"/>
  </cacheFields>
  <cacheHierarchies count="6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 oneField="1">
      <fieldsUsage count="1">
        <fieldUsage x="0"/>
      </fieldsUsage>
    </cacheHierarchy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/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PY customers]" caption="PY customers" measure="1" displayFolder="" measureGroup="Customers" count="0"/>
    <cacheHierarchy uniqueName="[Measures].[Total Order]" caption="Total Order" measure="1" displayFolder="" measureGroup="Customers" count="0"/>
    <cacheHierarchy uniqueName="[Measures].[AOV]" caption="AOV" measure="1" displayFolder="" measureGroup="Customers" count="0"/>
    <cacheHierarchy uniqueName="[Measures].[PY Orders]" caption="PY Orders" measure="1" displayFolder="" measureGroup="Customers" count="0"/>
    <cacheHierarchy uniqueName="[Measures].[PY AOV]" caption="PY AOV" measure="1" displayFolder="" measureGroup="Customers" count="0"/>
    <cacheHierarchy uniqueName="[Measures].[YOY Sales]" caption="YOY Sales" measure="1" displayFolder="" measureGroup="Customers" count="0"/>
    <cacheHierarchy uniqueName="[Measures].[Growth order]" caption="Growth order" measure="1" displayFolder="" measureGroup="Customers" count="0"/>
    <cacheHierarchy uniqueName="[Measures].[Growth customers]" caption="Growth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Growth AOV]" caption="Growth AOV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461146296293" createdVersion="5" refreshedVersion="6" minRefreshableVersion="3" recordCount="0" supportSubquery="1" supportAdvancedDrill="1" xr:uid="{19A4FDE3-D4B5-4EA2-9BCD-F5A460981A73}">
  <cacheSource type="external" connectionId="6"/>
  <cacheFields count="5">
    <cacheField name="[Measures].[Sum of Revenue2]" caption="Sum of Revenue2" numFmtId="0" hierarchy="35" level="32767"/>
    <cacheField name="[Measures].[Sum of Cost]" caption="Sum of Cost" numFmtId="0" hierarchy="36" level="32767"/>
    <cacheField name="[Products].[Sub-Category].[Sub-Category]" caption="Sub-Category" numFmtId="0" hierarchy="13" level="1">
      <sharedItems count="13">
        <s v="Accessories_Supplies"/>
        <s v="Furniture"/>
        <s v="Headphones"/>
        <s v="Home Audio"/>
        <s v="Home_Kitchen"/>
        <s v="Laptop_Desktop accessories"/>
        <s v="Mobile Phones"/>
        <s v="Office Products"/>
        <s v="Radios_Transceivers"/>
        <s v="Telephones_Accessories"/>
        <s v="Television"/>
        <s v="Tools_Home Improvement"/>
        <s v="Wearable Technology"/>
      </sharedItems>
    </cacheField>
    <cacheField name="[Measures].[Sum of Profit Margin]" caption="Sum of Profit Margin" numFmtId="0" hierarchy="37" level="32767"/>
    <cacheField name="[Measures].[_Total Profit margin Status]" caption="_Total Profit margin Status" numFmtId="0" hierarchy="62" level="32767"/>
  </cacheFields>
  <cacheHierarchies count="6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/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PY customers]" caption="PY customers" measure="1" displayFolder="" measureGroup="Customers" count="0"/>
    <cacheHierarchy uniqueName="[Measures].[Total Order]" caption="Total Order" measure="1" displayFolder="" measureGroup="Customers" count="0"/>
    <cacheHierarchy uniqueName="[Measures].[AOV]" caption="AOV" measure="1" displayFolder="" measureGroup="Customers" count="0"/>
    <cacheHierarchy uniqueName="[Measures].[PY Orders]" caption="PY Orders" measure="1" displayFolder="" measureGroup="Customers" count="0"/>
    <cacheHierarchy uniqueName="[Measures].[PY AOV]" caption="PY AOV" measure="1" displayFolder="" measureGroup="Customers" count="0"/>
    <cacheHierarchy uniqueName="[Measures].[YOY Sales]" caption="YOY Sales" measure="1" displayFolder="" measureGroup="Customers" count="0"/>
    <cacheHierarchy uniqueName="[Measures].[Growth order]" caption="Growth order" measure="1" displayFolder="" measureGroup="Customers" count="0"/>
    <cacheHierarchy uniqueName="[Measures].[Growth customers]" caption="Growth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Growth AOV]" caption="Growth AOV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oneField="1" hidden="1">
      <fieldsUsage count="1">
        <fieldUsage x="4"/>
      </fieldsUsage>
    </cacheHierarchy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461147916663" createdVersion="5" refreshedVersion="6" minRefreshableVersion="3" recordCount="0" supportSubquery="1" supportAdvancedDrill="1" xr:uid="{34D5F4F8-43B8-433F-9F43-1742647E7F06}">
  <cacheSource type="external" connectionId="6"/>
  <cacheFields count="4"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Sum of Cost]" caption="Sum of Cost" numFmtId="0" hierarchy="36" level="32767"/>
    <cacheField name="[Measures].[Sum of Revenue2]" caption="Sum of Revenue2" numFmtId="0" hierarchy="35" level="32767"/>
    <cacheField name="[Measures].[Sum of Profit Margin]" caption="Sum of Profit Margin" numFmtId="0" hierarchy="37" level="32767"/>
  </cacheFields>
  <cacheHierarchies count="6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/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PY customers]" caption="PY customers" measure="1" displayFolder="" measureGroup="Customers" count="0"/>
    <cacheHierarchy uniqueName="[Measures].[Total Order]" caption="Total Order" measure="1" displayFolder="" measureGroup="Customers" count="0"/>
    <cacheHierarchy uniqueName="[Measures].[AOV]" caption="AOV" measure="1" displayFolder="" measureGroup="Customers" count="0"/>
    <cacheHierarchy uniqueName="[Measures].[PY Orders]" caption="PY Orders" measure="1" displayFolder="" measureGroup="Customers" count="0"/>
    <cacheHierarchy uniqueName="[Measures].[PY AOV]" caption="PY AOV" measure="1" displayFolder="" measureGroup="Customers" count="0"/>
    <cacheHierarchy uniqueName="[Measures].[YOY Sales]" caption="YOY Sales" measure="1" displayFolder="" measureGroup="Customers" count="0"/>
    <cacheHierarchy uniqueName="[Measures].[Growth order]" caption="Growth order" measure="1" displayFolder="" measureGroup="Customers" count="0"/>
    <cacheHierarchy uniqueName="[Measures].[Growth customers]" caption="Growth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Growth AOV]" caption="Growth AOV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461149074072" createdVersion="5" refreshedVersion="6" minRefreshableVersion="3" recordCount="0" supportSubquery="1" supportAdvancedDrill="1" xr:uid="{E300687D-AA0C-40A8-80F0-473B87535074}">
  <cacheSource type="external" connectionId="6"/>
  <cacheFields count="2">
    <cacheField name="[Measures].[Sum of Profit]" caption="Sum of Profit" numFmtId="0" hierarchy="34" level="32767"/>
    <cacheField name="[Stores].[Region].[Region]" caption="Region" numFmtId="0" hierarchy="17" level="1">
      <sharedItems count="10">
        <s v="Ashanti"/>
        <s v="Brong-Ahafo"/>
        <s v="Central"/>
        <s v="Eastern"/>
        <s v="Greater Accra"/>
        <s v="Northern"/>
        <s v="Upper East"/>
        <s v="Upper West"/>
        <s v="Volta"/>
        <s v="Western"/>
      </sharedItems>
    </cacheField>
  </cacheFields>
  <cacheHierarchies count="6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2" memberValueDatatype="130" unbalanced="0">
      <fieldsUsage count="2">
        <fieldUsage x="-1"/>
        <fieldUsage x="1"/>
      </fieldsUsage>
    </cacheHierarchy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/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PY customers]" caption="PY customers" measure="1" displayFolder="" measureGroup="Customers" count="0"/>
    <cacheHierarchy uniqueName="[Measures].[Total Order]" caption="Total Order" measure="1" displayFolder="" measureGroup="Customers" count="0"/>
    <cacheHierarchy uniqueName="[Measures].[AOV]" caption="AOV" measure="1" displayFolder="" measureGroup="Customers" count="0"/>
    <cacheHierarchy uniqueName="[Measures].[PY Orders]" caption="PY Orders" measure="1" displayFolder="" measureGroup="Customers" count="0"/>
    <cacheHierarchy uniqueName="[Measures].[PY AOV]" caption="PY AOV" measure="1" displayFolder="" measureGroup="Customers" count="0"/>
    <cacheHierarchy uniqueName="[Measures].[YOY Sales]" caption="YOY Sales" measure="1" displayFolder="" measureGroup="Customers" count="0"/>
    <cacheHierarchy uniqueName="[Measures].[Growth order]" caption="Growth order" measure="1" displayFolder="" measureGroup="Customers" count="0"/>
    <cacheHierarchy uniqueName="[Measures].[Growth customers]" caption="Growth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Growth AOV]" caption="Growth AOV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461150000003" createdVersion="5" refreshedVersion="6" minRefreshableVersion="3" recordCount="0" supportSubquery="1" supportAdvancedDrill="1" xr:uid="{063C30EC-2625-4C86-AD45-13B083827990}">
  <cacheSource type="external" connectionId="6"/>
  <cacheFields count="1">
    <cacheField name="[Measures].[Total Revenue]" caption="Total Revenue" numFmtId="0" hierarchy="38" level="32767"/>
  </cacheFields>
  <cacheHierarchies count="6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 oneField="1">
      <fieldsUsage count="1">
        <fieldUsage x="0"/>
      </fieldsUsage>
    </cacheHierarchy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/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PY customers]" caption="PY customers" measure="1" displayFolder="" measureGroup="Customers" count="0"/>
    <cacheHierarchy uniqueName="[Measures].[Total Order]" caption="Total Order" measure="1" displayFolder="" measureGroup="Customers" count="0"/>
    <cacheHierarchy uniqueName="[Measures].[AOV]" caption="AOV" measure="1" displayFolder="" measureGroup="Customers" count="0"/>
    <cacheHierarchy uniqueName="[Measures].[PY Orders]" caption="PY Orders" measure="1" displayFolder="" measureGroup="Customers" count="0"/>
    <cacheHierarchy uniqueName="[Measures].[PY AOV]" caption="PY AOV" measure="1" displayFolder="" measureGroup="Customers" count="0"/>
    <cacheHierarchy uniqueName="[Measures].[YOY Sales]" caption="YOY Sales" measure="1" displayFolder="" measureGroup="Customers" count="0"/>
    <cacheHierarchy uniqueName="[Measures].[Growth order]" caption="Growth order" measure="1" displayFolder="" measureGroup="Customers" count="0"/>
    <cacheHierarchy uniqueName="[Measures].[Growth customers]" caption="Growth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Growth AOV]" caption="Growth AOV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461285185185" createdVersion="6" refreshedVersion="6" minRefreshableVersion="3" recordCount="0" supportSubquery="1" supportAdvancedDrill="1" xr:uid="{1DB39BD6-B2DD-4B58-B9B3-C922BC8C44ED}">
  <cacheSource type="external" connectionId="6"/>
  <cacheFields count="3">
    <cacheField name="[Measures].[Growth order]" caption="Growth order" numFmtId="0" hierarchy="51" level="32767"/>
    <cacheField name="[Measures].[Growth customers]" caption="Growth customers" numFmtId="0" hierarchy="52" level="32767"/>
    <cacheField name="[Measures].[Growth AOV]" caption="Growth AOV" numFmtId="0" hierarchy="54" level="32767"/>
  </cacheFields>
  <cacheHierarchies count="6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/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PY customers]" caption="PY customers" measure="1" displayFolder="" measureGroup="Customers" count="0"/>
    <cacheHierarchy uniqueName="[Measures].[Total Order]" caption="Total Order" measure="1" displayFolder="" measureGroup="Customers" count="0"/>
    <cacheHierarchy uniqueName="[Measures].[AOV]" caption="AOV" measure="1" displayFolder="" measureGroup="Customers" count="0"/>
    <cacheHierarchy uniqueName="[Measures].[PY Orders]" caption="PY Orders" measure="1" displayFolder="" measureGroup="Customers" count="0"/>
    <cacheHierarchy uniqueName="[Measures].[PY AOV]" caption="PY AOV" measure="1" displayFolder="" measureGroup="Customers" count="0"/>
    <cacheHierarchy uniqueName="[Measures].[YOY Sales]" caption="YOY Sales" measure="1" displayFolder="" measureGroup="Customers" count="0"/>
    <cacheHierarchy uniqueName="[Measures].[Growth order]" caption="Growth order" measure="1" displayFolder="" measureGroup="Customers" count="0" oneField="1">
      <fieldsUsage count="1">
        <fieldUsage x="0"/>
      </fieldsUsage>
    </cacheHierarchy>
    <cacheHierarchy uniqueName="[Measures].[Growth customers]" caption="Growth customers" measure="1" displayFolder="" measureGroup="Customers" count="0" oneField="1">
      <fieldsUsage count="1">
        <fieldUsage x="1"/>
      </fieldsUsage>
    </cacheHierarchy>
    <cacheHierarchy uniqueName="[Measures].[Total Profit margin]" caption="Total Profit margin" measure="1" displayFolder="" measureGroup="Transactions" count="0"/>
    <cacheHierarchy uniqueName="[Measures].[Growth AOV]" caption="Growth AOV" measure="1" displayFolder="" measureGroup="Customers" count="0" oneField="1">
      <fieldsUsage count="1">
        <fieldUsage x="2"/>
      </fieldsUsage>
    </cacheHierarchy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28448-37BB-488F-BB69-B35F991C55BD}" name="PivotTable20" cacheId="59" applyNumberFormats="0" applyBorderFormats="0" applyFontFormats="0" applyPatternFormats="0" applyAlignmentFormats="0" applyWidthHeightFormats="1" dataCaption="Values" tag="020ab89b-30dc-43d7-98ab-c8680ee07130" updatedVersion="6" minRefreshableVersion="3" useAutoFormatting="1" subtotalHiddenItems="1" itemPrintTitles="1" createdVersion="5" indent="0" outline="1" outlineData="1" multipleFieldFilters="0">
  <location ref="N764:R778" firstHeaderRow="0" firstDataRow="1" firstDataCol="1"/>
  <pivotFields count="5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  <pivotField dataField="1" subtotalTop="0" showAll="0" defaultSubtota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2" fld="0" baseField="0" baseItem="0"/>
    <dataField name="Sum of Cost" fld="1" baseField="0" baseItem="0"/>
    <dataField name="Sum of Profit Margin" fld="3" showDataAs="percentOfTotal" baseField="0" baseItem="0" numFmtId="10"/>
    <dataField name="Total Profit margin Status" fld="4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pivotHierarchies count="6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  <x15:activeTabTopLevelEntity name="[Store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AE776-BBBB-4382-9653-4EFB7D1595E5}" name="PivotTable4" cacheId="54" applyNumberFormats="0" applyBorderFormats="0" applyFontFormats="0" applyPatternFormats="0" applyAlignmentFormats="0" applyWidthHeightFormats="1" dataCaption="Values" tag="e738c298-c6e9-40fe-93e6-9710b6ce2c45" updatedVersion="6" minRefreshableVersion="3" useAutoFormatting="1" itemPrintTitles="1" createdVersion="6" indent="0" outline="1" outlineData="1" multipleFieldFilters="0" chartFormat="4">
  <location ref="H31:I44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 numFmtId="168"/>
  </dataFields>
  <formats count="1">
    <format dxfId="0">
      <pivotArea outline="0" collapsedLevelsAreSubtotals="1" fieldPosition="0"/>
    </format>
  </format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Hierarchies count="6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C3E93-8241-4941-89A3-DD6043701493}" name="PivotTable12" cacheId="63" applyNumberFormats="0" applyBorderFormats="0" applyFontFormats="0" applyPatternFormats="0" applyAlignmentFormats="0" applyWidthHeightFormats="1" dataCaption="Values" tag="de641058-7ce6-4284-b0bc-953f9505f148" updatedVersion="6" minRefreshableVersion="3" useAutoFormatting="1" itemPrintTitles="1" createdVersion="6" indent="0" outline="1" outlineData="1" multipleFieldFilters="0">
  <location ref="B50:D51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pivotHierarchies count="6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5DBA9-7C04-40BC-A50C-10FC25048CE3}" name="PivotTable19" cacheId="60" applyNumberFormats="0" applyBorderFormats="0" applyFontFormats="0" applyPatternFormats="0" applyAlignmentFormats="0" applyWidthHeightFormats="1" dataCaption="Values" tag="d48226e4-d32f-4b39-8cf3-414d2296b1f3" updatedVersion="6" minRefreshableVersion="3" useAutoFormatting="1" subtotalHiddenItems="1" itemPrintTitles="1" createdVersion="5" indent="0" outline="1" outlineData="1" multipleFieldFilters="0">
  <location ref="B23:E36" firstHeaderRow="0" firstDataRow="1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st" fld="1" baseField="0" baseItem="0"/>
    <dataField name="Sum of Revenue2" fld="2" baseField="0" baseItem="0"/>
    <dataField name="Sum of Profit Margin" fld="3" baseField="0" baseItem="0"/>
  </dataFields>
  <pivotHierarchies count="6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  <x15:activeTabTopLevelEntity name="[Store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B1193-F5DC-4998-BE4E-C2928B262829}" name="PivotTable3" cacheId="55" applyNumberFormats="0" applyBorderFormats="0" applyFontFormats="0" applyPatternFormats="0" applyAlignmentFormats="0" applyWidthHeightFormats="1" dataCaption="Values" tag="17ef135f-082e-4037-86e4-8a847f8cc706" updatedVersion="6" minRefreshableVersion="3" useAutoFormatting="1" subtotalHiddenItems="1" itemPrintTitles="1" createdVersion="6" indent="0" outline="1" outlineData="1" multipleFieldFilters="0" chartFormat="3">
  <location ref="W9:X22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pivotHierarchies count="6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Calendar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71562-2C61-42A8-B83F-DA6117420578}" name="PivotTable9" cacheId="51" applyNumberFormats="0" applyBorderFormats="0" applyFontFormats="0" applyPatternFormats="0" applyAlignmentFormats="0" applyWidthHeightFormats="1" dataCaption="Values" tag="78523ebe-d16d-4421-8d41-e058d5a8bcba" updatedVersion="6" minRefreshableVersion="3" useAutoFormatting="1" subtotalHiddenItems="1" itemPrintTitles="1" createdVersion="6" indent="0" outline="1" outlineData="1" multipleFieldFilters="0" chartFormat="14">
  <location ref="Y9:Y1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Calendar]"/>
        <x15:activeTabTopLevelEntity name="[Transactions]"/>
        <x15:activeTabTopLevelEntity name="[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8B4E7-7DCA-4E9A-AA33-5E79217F5B5F}" name="PivotTable18" cacheId="61" applyNumberFormats="0" applyBorderFormats="0" applyFontFormats="0" applyPatternFormats="0" applyAlignmentFormats="0" applyWidthHeightFormats="1" dataCaption="Values" tag="0e141719-d5ee-4d31-a024-191102e25786" updatedVersion="6" minRefreshableVersion="3" useAutoFormatting="1" subtotalHiddenItems="1" itemPrintTitles="1" createdVersion="5" indent="0" outline="1" outlineData="1" multipleFieldFilters="0">
  <location ref="B9:C2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0" baseField="0" baseItem="0"/>
  </dataFields>
  <pivotHierarchies count="6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  <x15:activeTabTopLevelEntity name="[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28851-96A3-4365-9F71-8798EEFB8450}" name="PivotTable2" cacheId="56" applyNumberFormats="0" applyBorderFormats="0" applyFontFormats="0" applyPatternFormats="0" applyAlignmentFormats="0" applyWidthHeightFormats="1" dataCaption="Values" tag="5e4b4944-1a3a-4951-99ac-76186945e456" updatedVersion="6" minRefreshableVersion="3" useAutoFormatting="1" subtotalHiddenItems="1" itemPrintTitles="1" createdVersion="6" indent="0" outline="1" outlineData="1" multipleFieldFilters="0" chartFormat="14">
  <location ref="U9:V22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Calendar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F8D9F-B196-44FB-B32D-1709CFD4F899}" name="PivotTable24" cacheId="62" applyNumberFormats="0" applyBorderFormats="0" applyFontFormats="0" applyPatternFormats="0" applyAlignmentFormats="0" applyWidthHeightFormats="1" dataCaption="Values" tag="d03cd6eb-01bd-499b-bace-9b227d5053b4" updatedVersion="6" minRefreshableVersion="3" useAutoFormatting="1" subtotalHiddenItems="1" itemPrintTitles="1" createdVersion="5" indent="0" outline="1" outlineData="1" multipleFieldFilters="0">
  <location ref="H24:H2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6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  <x15:activeTabTopLevelEntity name="[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8D4D4-732C-43DE-9653-2138EDF04020}" name="PivotTable1" cacheId="57" applyNumberFormats="0" applyBorderFormats="0" applyFontFormats="0" applyPatternFormats="0" applyAlignmentFormats="0" applyWidthHeightFormats="1" dataCaption="Values" tag="f56ea54a-f063-420b-92c2-d5192b3e18df" updatedVersion="6" minRefreshableVersion="3" useAutoFormatting="1" itemPrintTitles="1" createdVersion="6" indent="0" outline="1" outlineData="1" multipleFieldFilters="0" chartFormat="18">
  <location ref="S9:T2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0" subtotal="count" baseField="0" baseItem="0"/>
  </dataFields>
  <pivotHierarchies count="6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D3D3B-E7C8-423B-9AF0-D30189C52B2B}" name="PivotTable6" cacheId="52" applyNumberFormats="0" applyBorderFormats="0" applyFontFormats="0" applyPatternFormats="0" applyAlignmentFormats="0" applyWidthHeightFormats="1" dataCaption="Values" tag="59de0378-c4bc-4bb7-aeaa-da29f860320f" updatedVersion="6" minRefreshableVersion="3" useAutoFormatting="1" subtotalHiddenItems="1" itemPrintTitles="1" createdVersion="6" indent="0" outline="1" outlineData="1" multipleFieldFilters="0" chartFormat="14">
  <location ref="V25:W3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0" subtotal="count" baseField="0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Calendar]"/>
        <x15:activeTabTopLevelEntity name="[Transactions]"/>
        <x15:activeTabTopLevelEntity name="[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28E42-BCDC-4FA4-8E19-88AC44302671}" name="PivotTable22" cacheId="58" applyNumberFormats="0" applyBorderFormats="0" applyFontFormats="0" applyPatternFormats="0" applyAlignmentFormats="0" applyWidthHeightFormats="1" dataCaption="Values" tag="71a44b33-b7bb-4c94-ac38-72c50b947d55" updatedVersion="6" minRefreshableVersion="3" useAutoFormatting="1" subtotalHiddenItems="1" itemPrintTitles="1" createdVersion="5" indent="0" outline="1" outlineData="1" multipleFieldFilters="0">
  <location ref="B47:B4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6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  <x15:activeTabTopLevelEntity name="[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C8774-92B7-4454-BCC9-54459FC0AD29}" name="PivotTable23" cacheId="50" applyNumberFormats="0" applyBorderFormats="0" applyFontFormats="0" applyPatternFormats="0" applyAlignmentFormats="0" applyWidthHeightFormats="1" dataCaption="Values" tag="ec0675b9-ed10-45ff-86a9-5843e5a4227d" updatedVersion="6" minRefreshableVersion="3" useAutoFormatting="1" subtotalHiddenItems="1" itemPrintTitles="1" createdVersion="5" indent="0" outline="1" outlineData="1" multipleFieldFilters="0">
  <location ref="C47:L48" firstHeaderRow="0" firstDataRow="1" firstDataCol="0"/>
  <pivotFields count="10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fld="0" subtotal="count" baseField="0" baseItem="0" numFmtId="165"/>
    <dataField fld="1" subtotal="count" baseField="0" baseItem="0"/>
    <dataField fld="2" subtotal="count" baseField="0" baseItem="0" numFmtId="166"/>
    <dataField fld="3" subtotal="count" baseField="0" baseItem="0"/>
    <dataField fld="4" subtotal="count" baseField="0" baseItem="0"/>
    <dataField fld="5" subtotal="count" baseField="0" baseItem="0" numFmtId="166"/>
    <dataField fld="6" subtotal="count" baseField="0" baseItem="0" numFmtId="166"/>
    <dataField fld="7" subtotal="count" baseField="0" baseItem="0" numFmtId="166"/>
    <dataField fld="8" subtotal="count" baseField="0" baseItem="0" numFmtId="166"/>
    <dataField fld="9" subtotal="count" baseField="0" baseItem="0"/>
  </dataFields>
  <formats count="6"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</formats>
  <pivotHierarchies count="6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  <x15:activeTabTopLevelEntity name="[Store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F939C-D4DB-4CC8-91D6-E3C4761A9827}" name="PivotTable5" cacheId="53" applyNumberFormats="0" applyBorderFormats="0" applyFontFormats="0" applyPatternFormats="0" applyAlignmentFormats="0" applyWidthHeightFormats="1" dataCaption="Values" tag="29327620-9232-4de3-9d96-7a3ac86cb2a7" updatedVersion="6" minRefreshableVersion="3" useAutoFormatting="1" itemPrintTitles="1" createdVersion="6" indent="0" outline="1" outlineData="1" multipleFieldFilters="0" chartFormat="37">
  <location ref="S26:T35" firstHeaderRow="1" firstDataRow="1" firstDataCol="1"/>
  <pivotFields count="3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measureFilter="1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fld="2" subtotal="count" baseField="0" baseItem="0" numFmtId="167"/>
  </dataFields>
  <formats count="4">
    <format dxfId="10">
      <pivotArea outline="0" collapsedLevelsAreSubtotals="1" fieldPosition="0"/>
    </format>
    <format dxfId="9">
      <pivotArea collapsedLevelsAreSubtotals="1" fieldPosition="0">
        <references count="1">
          <reference field="1" count="1">
            <x v="0"/>
          </reference>
        </references>
      </pivotArea>
    </format>
    <format dxfId="8">
      <pivotArea collapsedLevelsAreSubtotals="1" fieldPosition="0">
        <references count="1">
          <reference field="1" count="4">
            <x v="2"/>
            <x v="4"/>
            <x v="5"/>
            <x v="6"/>
          </reference>
        </references>
      </pivotArea>
    </format>
    <format dxfId="7">
      <pivotArea grandRow="1" outline="0" collapsedLevelsAreSubtotals="1" fieldPosition="0"/>
    </format>
  </formats>
  <chartFormats count="1">
    <chartFormat chart="3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2">
    <filter fld="1" type="count" id="5" iMeasureHier="38">
      <autoFilter ref="A1">
        <filterColumn colId="0">
          <top10 val="8" filterVal="8"/>
        </filterColumn>
      </autoFilter>
    </filter>
    <filter fld="0" type="count" id="2" iMeasureHier="42">
      <autoFilter ref="A1">
        <filterColumn colId="0">
          <top10 val="5" filterVal="5"/>
        </filterColumn>
      </autoFilter>
    </filter>
  </filter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Calendar]"/>
        <x15:activeTabTopLevelEntity name="[Product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rinterSettings" Target="../printerSettings/printerSettings1.bin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2CE5-AD90-4548-B53B-ED4DD48C4BE7}">
  <dimension ref="A8:Y778"/>
  <sheetViews>
    <sheetView topLeftCell="A18" workbookViewId="0">
      <selection activeCell="G55" sqref="G55"/>
    </sheetView>
  </sheetViews>
  <sheetFormatPr defaultRowHeight="15" x14ac:dyDescent="0.25"/>
  <cols>
    <col min="2" max="2" width="13.140625" bestFit="1" customWidth="1"/>
    <col min="3" max="3" width="17.5703125" bestFit="1" customWidth="1"/>
    <col min="4" max="4" width="12.140625" bestFit="1" customWidth="1"/>
    <col min="5" max="5" width="19.5703125" bestFit="1" customWidth="1"/>
    <col min="6" max="6" width="15.140625" bestFit="1" customWidth="1"/>
    <col min="7" max="7" width="12.85546875" bestFit="1" customWidth="1"/>
    <col min="8" max="9" width="13.85546875" bestFit="1" customWidth="1"/>
    <col min="10" max="10" width="9.7109375" bestFit="1" customWidth="1"/>
    <col min="11" max="11" width="7.7109375" bestFit="1" customWidth="1"/>
    <col min="12" max="13" width="12" bestFit="1" customWidth="1"/>
    <col min="14" max="14" width="26.28515625" bestFit="1" customWidth="1"/>
    <col min="15" max="15" width="16.5703125" bestFit="1" customWidth="1"/>
    <col min="16" max="16" width="11.42578125" bestFit="1" customWidth="1"/>
    <col min="17" max="17" width="19.5703125" bestFit="1" customWidth="1"/>
    <col min="18" max="18" width="23.7109375" bestFit="1" customWidth="1"/>
    <col min="19" max="19" width="13.140625" bestFit="1" customWidth="1"/>
    <col min="20" max="20" width="9" bestFit="1" customWidth="1"/>
    <col min="21" max="21" width="13.140625" bestFit="1" customWidth="1"/>
    <col min="22" max="22" width="13.85546875" bestFit="1" customWidth="1"/>
    <col min="23" max="23" width="13.140625" bestFit="1" customWidth="1"/>
    <col min="24" max="24" width="12.85546875" bestFit="1" customWidth="1"/>
    <col min="25" max="25" width="13.85546875" bestFit="1" customWidth="1"/>
    <col min="26" max="26" width="12" bestFit="1" customWidth="1"/>
    <col min="27" max="27" width="7.140625" bestFit="1" customWidth="1"/>
    <col min="28" max="28" width="10.85546875" bestFit="1" customWidth="1"/>
    <col min="29" max="29" width="8.140625" bestFit="1" customWidth="1"/>
    <col min="30" max="30" width="10.42578125" bestFit="1" customWidth="1"/>
    <col min="31" max="31" width="10.140625" bestFit="1" customWidth="1"/>
    <col min="32" max="32" width="11.28515625" bestFit="1" customWidth="1"/>
  </cols>
  <sheetData>
    <row r="8" spans="1:25" x14ac:dyDescent="0.25">
      <c r="A8" t="s">
        <v>14</v>
      </c>
      <c r="S8" t="s">
        <v>59</v>
      </c>
      <c r="U8" t="s">
        <v>60</v>
      </c>
    </row>
    <row r="9" spans="1:25" x14ac:dyDescent="0.25">
      <c r="A9" t="s">
        <v>0</v>
      </c>
      <c r="B9" s="2" t="s">
        <v>2</v>
      </c>
      <c r="C9" t="s">
        <v>1</v>
      </c>
      <c r="S9" s="2" t="s">
        <v>2</v>
      </c>
      <c r="T9" t="s">
        <v>47</v>
      </c>
      <c r="U9" s="2" t="s">
        <v>2</v>
      </c>
      <c r="V9" t="s">
        <v>44</v>
      </c>
      <c r="W9" s="2" t="s">
        <v>2</v>
      </c>
      <c r="X9" t="s">
        <v>50</v>
      </c>
      <c r="Y9" t="s">
        <v>44</v>
      </c>
    </row>
    <row r="10" spans="1:25" x14ac:dyDescent="0.25">
      <c r="B10" s="3" t="s">
        <v>3</v>
      </c>
      <c r="C10" s="1">
        <v>245647</v>
      </c>
      <c r="S10" s="3" t="s">
        <v>15</v>
      </c>
      <c r="T10" s="1">
        <v>452</v>
      </c>
      <c r="U10" s="3" t="s">
        <v>15</v>
      </c>
      <c r="V10" s="4">
        <v>506145</v>
      </c>
      <c r="W10" s="3" t="s">
        <v>15</v>
      </c>
      <c r="X10" s="1">
        <v>30</v>
      </c>
      <c r="Y10" s="4">
        <v>6998937</v>
      </c>
    </row>
    <row r="11" spans="1:25" x14ac:dyDescent="0.25">
      <c r="B11" s="3" t="s">
        <v>4</v>
      </c>
      <c r="C11" s="1">
        <v>85772</v>
      </c>
      <c r="S11" s="3" t="s">
        <v>16</v>
      </c>
      <c r="T11" s="1">
        <v>305</v>
      </c>
      <c r="U11" s="3" t="s">
        <v>16</v>
      </c>
      <c r="V11" s="4">
        <v>306517</v>
      </c>
      <c r="W11" s="3" t="s">
        <v>16</v>
      </c>
      <c r="X11" s="1">
        <v>30</v>
      </c>
    </row>
    <row r="12" spans="1:25" x14ac:dyDescent="0.25">
      <c r="B12" s="3" t="s">
        <v>5</v>
      </c>
      <c r="C12" s="1">
        <v>112227</v>
      </c>
      <c r="N12" t="s">
        <v>64</v>
      </c>
      <c r="S12" s="3" t="s">
        <v>17</v>
      </c>
      <c r="T12" s="1">
        <v>749</v>
      </c>
      <c r="U12" s="3" t="s">
        <v>17</v>
      </c>
      <c r="V12" s="4">
        <v>767026</v>
      </c>
      <c r="W12" s="3" t="s">
        <v>17</v>
      </c>
      <c r="X12" s="1">
        <v>30</v>
      </c>
    </row>
    <row r="13" spans="1:25" x14ac:dyDescent="0.25">
      <c r="B13" s="3" t="s">
        <v>6</v>
      </c>
      <c r="C13" s="1">
        <v>91101</v>
      </c>
      <c r="S13" s="3" t="s">
        <v>18</v>
      </c>
      <c r="T13" s="1">
        <v>602</v>
      </c>
      <c r="U13" s="3" t="s">
        <v>18</v>
      </c>
      <c r="V13" s="4">
        <v>796906</v>
      </c>
      <c r="W13" s="3" t="s">
        <v>18</v>
      </c>
      <c r="X13" s="1">
        <v>30</v>
      </c>
    </row>
    <row r="14" spans="1:25" x14ac:dyDescent="0.25">
      <c r="B14" s="3" t="s">
        <v>7</v>
      </c>
      <c r="C14" s="1">
        <v>208897</v>
      </c>
      <c r="S14" s="3" t="s">
        <v>19</v>
      </c>
      <c r="T14" s="1">
        <v>480</v>
      </c>
      <c r="U14" s="3" t="s">
        <v>19</v>
      </c>
      <c r="V14" s="4">
        <v>570425</v>
      </c>
      <c r="W14" s="3" t="s">
        <v>19</v>
      </c>
      <c r="X14" s="1">
        <v>30</v>
      </c>
    </row>
    <row r="15" spans="1:25" x14ac:dyDescent="0.25">
      <c r="B15" s="3" t="s">
        <v>8</v>
      </c>
      <c r="C15" s="1">
        <v>400787</v>
      </c>
      <c r="S15" s="3" t="s">
        <v>20</v>
      </c>
      <c r="T15" s="1">
        <v>325</v>
      </c>
      <c r="U15" s="3" t="s">
        <v>20</v>
      </c>
      <c r="V15" s="4">
        <v>298017</v>
      </c>
      <c r="W15" s="3" t="s">
        <v>20</v>
      </c>
      <c r="X15" s="1">
        <v>30</v>
      </c>
    </row>
    <row r="16" spans="1:25" x14ac:dyDescent="0.25">
      <c r="B16" s="3" t="s">
        <v>9</v>
      </c>
      <c r="C16" s="1">
        <v>104895</v>
      </c>
      <c r="S16" s="3" t="s">
        <v>21</v>
      </c>
      <c r="T16" s="1">
        <v>503</v>
      </c>
      <c r="U16" s="3" t="s">
        <v>21</v>
      </c>
      <c r="V16" s="4">
        <v>682283</v>
      </c>
      <c r="W16" s="3" t="s">
        <v>21</v>
      </c>
      <c r="X16" s="1">
        <v>30</v>
      </c>
    </row>
    <row r="17" spans="1:25" x14ac:dyDescent="0.25">
      <c r="B17" s="3" t="s">
        <v>10</v>
      </c>
      <c r="C17" s="1">
        <v>111352</v>
      </c>
      <c r="S17" s="3" t="s">
        <v>22</v>
      </c>
      <c r="T17" s="1">
        <v>514</v>
      </c>
      <c r="U17" s="3" t="s">
        <v>22</v>
      </c>
      <c r="V17" s="4">
        <v>496796</v>
      </c>
      <c r="W17" s="3" t="s">
        <v>22</v>
      </c>
      <c r="X17" s="1">
        <v>30</v>
      </c>
    </row>
    <row r="18" spans="1:25" x14ac:dyDescent="0.25">
      <c r="B18" s="3" t="s">
        <v>11</v>
      </c>
      <c r="C18" s="1">
        <v>184245</v>
      </c>
      <c r="S18" s="3" t="s">
        <v>23</v>
      </c>
      <c r="T18" s="1">
        <v>463</v>
      </c>
      <c r="U18" s="3" t="s">
        <v>23</v>
      </c>
      <c r="V18" s="4">
        <v>668480</v>
      </c>
      <c r="W18" s="3" t="s">
        <v>23</v>
      </c>
      <c r="X18" s="1">
        <v>30</v>
      </c>
    </row>
    <row r="19" spans="1:25" x14ac:dyDescent="0.25">
      <c r="B19" s="3" t="s">
        <v>12</v>
      </c>
      <c r="C19" s="1">
        <v>183871</v>
      </c>
      <c r="S19" s="3" t="s">
        <v>24</v>
      </c>
      <c r="T19" s="1">
        <v>625</v>
      </c>
      <c r="U19" s="3" t="s">
        <v>24</v>
      </c>
      <c r="V19" s="4">
        <v>682572</v>
      </c>
      <c r="W19" s="3" t="s">
        <v>24</v>
      </c>
      <c r="X19" s="1">
        <v>30</v>
      </c>
    </row>
    <row r="20" spans="1:25" x14ac:dyDescent="0.25">
      <c r="B20" s="3" t="s">
        <v>13</v>
      </c>
      <c r="C20" s="1">
        <v>1728794</v>
      </c>
      <c r="S20" s="3" t="s">
        <v>25</v>
      </c>
      <c r="T20" s="1">
        <v>471</v>
      </c>
      <c r="U20" s="3" t="s">
        <v>25</v>
      </c>
      <c r="V20" s="4">
        <v>591107</v>
      </c>
      <c r="W20" s="3" t="s">
        <v>25</v>
      </c>
      <c r="X20" s="1">
        <v>30</v>
      </c>
    </row>
    <row r="21" spans="1:25" x14ac:dyDescent="0.25">
      <c r="L21" t="s">
        <v>51</v>
      </c>
      <c r="S21" s="3" t="s">
        <v>26</v>
      </c>
      <c r="T21" s="1">
        <v>474</v>
      </c>
      <c r="U21" s="3" t="s">
        <v>26</v>
      </c>
      <c r="V21" s="4">
        <v>632663</v>
      </c>
      <c r="W21" s="3" t="s">
        <v>26</v>
      </c>
      <c r="X21" s="1">
        <v>30</v>
      </c>
    </row>
    <row r="22" spans="1:25" x14ac:dyDescent="0.25">
      <c r="A22" t="s">
        <v>27</v>
      </c>
      <c r="L22" t="s">
        <v>52</v>
      </c>
      <c r="S22" s="3" t="s">
        <v>13</v>
      </c>
      <c r="T22" s="1">
        <v>5963</v>
      </c>
      <c r="U22" s="3" t="s">
        <v>13</v>
      </c>
      <c r="V22" s="4">
        <v>6998937</v>
      </c>
      <c r="W22" s="3" t="s">
        <v>13</v>
      </c>
      <c r="X22" s="1">
        <v>30</v>
      </c>
    </row>
    <row r="23" spans="1:25" x14ac:dyDescent="0.25">
      <c r="B23" s="2" t="s">
        <v>2</v>
      </c>
      <c r="C23" t="s">
        <v>29</v>
      </c>
      <c r="D23" t="s">
        <v>28</v>
      </c>
      <c r="E23" t="s">
        <v>30</v>
      </c>
      <c r="L23" t="s">
        <v>53</v>
      </c>
    </row>
    <row r="24" spans="1:25" x14ac:dyDescent="0.25">
      <c r="B24" s="3" t="s">
        <v>15</v>
      </c>
      <c r="C24" s="1">
        <v>376940</v>
      </c>
      <c r="D24" s="1">
        <v>506145</v>
      </c>
      <c r="E24" s="1">
        <v>1328.2297478149983</v>
      </c>
      <c r="H24" t="s">
        <v>44</v>
      </c>
      <c r="L24" t="s">
        <v>54</v>
      </c>
    </row>
    <row r="25" spans="1:25" x14ac:dyDescent="0.25">
      <c r="B25" s="3" t="s">
        <v>16</v>
      </c>
      <c r="C25" s="1">
        <v>230723</v>
      </c>
      <c r="D25" s="1">
        <v>306517</v>
      </c>
      <c r="E25" s="1">
        <v>752.77435313473643</v>
      </c>
      <c r="H25" s="4">
        <v>6998937</v>
      </c>
      <c r="L25" t="s">
        <v>55</v>
      </c>
      <c r="S25" s="3" t="s">
        <v>61</v>
      </c>
      <c r="V25" s="2" t="s">
        <v>2</v>
      </c>
      <c r="W25" t="s">
        <v>44</v>
      </c>
      <c r="X25" s="2"/>
    </row>
    <row r="26" spans="1:25" x14ac:dyDescent="0.25">
      <c r="B26" s="3" t="s">
        <v>17</v>
      </c>
      <c r="C26" s="1">
        <v>560592</v>
      </c>
      <c r="D26" s="1">
        <v>767026</v>
      </c>
      <c r="E26" s="1">
        <v>2004.3813106279508</v>
      </c>
      <c r="L26" t="s">
        <v>56</v>
      </c>
      <c r="S26" s="2" t="s">
        <v>2</v>
      </c>
      <c r="T26" t="s">
        <v>44</v>
      </c>
      <c r="U26" s="2"/>
      <c r="V26" s="3" t="s">
        <v>3</v>
      </c>
      <c r="W26" s="4">
        <v>933136</v>
      </c>
      <c r="X26" s="3" t="s">
        <v>3</v>
      </c>
      <c r="Y26" s="4">
        <v>933136</v>
      </c>
    </row>
    <row r="27" spans="1:25" x14ac:dyDescent="0.25">
      <c r="B27" s="3" t="s">
        <v>18</v>
      </c>
      <c r="C27" s="1">
        <v>597874</v>
      </c>
      <c r="D27" s="1">
        <v>796906</v>
      </c>
      <c r="E27" s="1">
        <v>1932.150217024559</v>
      </c>
      <c r="L27" t="s">
        <v>57</v>
      </c>
      <c r="S27" s="3" t="s">
        <v>31</v>
      </c>
      <c r="T27" s="11">
        <v>471821</v>
      </c>
      <c r="V27" s="3" t="s">
        <v>4</v>
      </c>
      <c r="W27" s="4">
        <v>390181</v>
      </c>
      <c r="X27" s="3" t="s">
        <v>4</v>
      </c>
      <c r="Y27" s="4">
        <v>390181</v>
      </c>
    </row>
    <row r="28" spans="1:25" x14ac:dyDescent="0.25">
      <c r="B28" s="3" t="s">
        <v>19</v>
      </c>
      <c r="C28" s="1">
        <v>437312</v>
      </c>
      <c r="D28" s="1">
        <v>570425</v>
      </c>
      <c r="E28" s="1">
        <v>1281.9013285210888</v>
      </c>
      <c r="L28" t="s">
        <v>58</v>
      </c>
      <c r="S28" s="3" t="s">
        <v>34</v>
      </c>
      <c r="T28" s="9">
        <v>218385</v>
      </c>
      <c r="V28" s="3" t="s">
        <v>5</v>
      </c>
      <c r="W28" s="4">
        <v>428596</v>
      </c>
      <c r="X28" s="3" t="s">
        <v>5</v>
      </c>
      <c r="Y28" s="4">
        <v>428596</v>
      </c>
    </row>
    <row r="29" spans="1:25" x14ac:dyDescent="0.25">
      <c r="B29" s="3" t="s">
        <v>20</v>
      </c>
      <c r="C29" s="1">
        <v>233627</v>
      </c>
      <c r="D29" s="1">
        <v>298017</v>
      </c>
      <c r="E29" s="1">
        <v>764.9005929251598</v>
      </c>
      <c r="S29" s="3" t="s">
        <v>35</v>
      </c>
      <c r="T29" s="11">
        <v>887160</v>
      </c>
      <c r="V29" s="3" t="s">
        <v>6</v>
      </c>
      <c r="W29" s="4">
        <v>367934</v>
      </c>
      <c r="X29" s="3" t="s">
        <v>6</v>
      </c>
      <c r="Y29" s="4">
        <v>367934</v>
      </c>
    </row>
    <row r="30" spans="1:25" x14ac:dyDescent="0.25">
      <c r="B30" s="3" t="s">
        <v>21</v>
      </c>
      <c r="C30" s="1">
        <v>508509</v>
      </c>
      <c r="D30" s="1">
        <v>682283</v>
      </c>
      <c r="E30" s="1">
        <v>1563.4369703845061</v>
      </c>
      <c r="S30" s="3" t="s">
        <v>36</v>
      </c>
      <c r="T30" s="9">
        <v>441140</v>
      </c>
      <c r="V30" s="3" t="s">
        <v>7</v>
      </c>
      <c r="W30" s="4">
        <v>817724</v>
      </c>
      <c r="X30" s="3" t="s">
        <v>7</v>
      </c>
      <c r="Y30" s="4">
        <v>817724</v>
      </c>
    </row>
    <row r="31" spans="1:25" x14ac:dyDescent="0.25">
      <c r="B31" s="3" t="s">
        <v>22</v>
      </c>
      <c r="C31" s="1">
        <v>377420</v>
      </c>
      <c r="D31" s="1">
        <v>496796</v>
      </c>
      <c r="E31" s="1">
        <v>1248.9560774795739</v>
      </c>
      <c r="H31" s="2" t="s">
        <v>2</v>
      </c>
      <c r="I31" t="s">
        <v>44</v>
      </c>
      <c r="S31" s="3" t="s">
        <v>37</v>
      </c>
      <c r="T31" s="11">
        <v>1224368</v>
      </c>
      <c r="V31" s="3" t="s">
        <v>8</v>
      </c>
      <c r="W31" s="4">
        <v>1658429</v>
      </c>
      <c r="X31" s="3" t="s">
        <v>8</v>
      </c>
      <c r="Y31" s="4">
        <v>1658429</v>
      </c>
    </row>
    <row r="32" spans="1:25" x14ac:dyDescent="0.25">
      <c r="B32" s="3" t="s">
        <v>23</v>
      </c>
      <c r="C32" s="1">
        <v>518723</v>
      </c>
      <c r="D32" s="1">
        <v>668480</v>
      </c>
      <c r="E32" s="1">
        <v>1211.5566131501746</v>
      </c>
      <c r="H32" s="3" t="s">
        <v>15</v>
      </c>
      <c r="I32" s="10">
        <v>506145</v>
      </c>
      <c r="S32" s="3" t="s">
        <v>40</v>
      </c>
      <c r="T32" s="11">
        <v>894663</v>
      </c>
      <c r="V32" s="3" t="s">
        <v>9</v>
      </c>
      <c r="W32" s="4">
        <v>393232</v>
      </c>
      <c r="X32" s="3" t="s">
        <v>9</v>
      </c>
      <c r="Y32" s="4">
        <v>393232</v>
      </c>
    </row>
    <row r="33" spans="2:25" x14ac:dyDescent="0.25">
      <c r="B33" s="3" t="s">
        <v>24</v>
      </c>
      <c r="C33" s="1">
        <v>511566</v>
      </c>
      <c r="D33" s="1">
        <v>682572</v>
      </c>
      <c r="E33" s="1">
        <v>1568.5064356932494</v>
      </c>
      <c r="H33" s="3" t="s">
        <v>16</v>
      </c>
      <c r="I33" s="10">
        <v>306517</v>
      </c>
      <c r="S33" s="3" t="s">
        <v>41</v>
      </c>
      <c r="T33" s="11">
        <v>2001334</v>
      </c>
      <c r="V33" s="3" t="s">
        <v>10</v>
      </c>
      <c r="W33" s="4">
        <v>460222</v>
      </c>
      <c r="X33" s="3" t="s">
        <v>10</v>
      </c>
      <c r="Y33" s="4">
        <v>460222</v>
      </c>
    </row>
    <row r="34" spans="2:25" x14ac:dyDescent="0.25">
      <c r="B34" s="3" t="s">
        <v>25</v>
      </c>
      <c r="C34" s="1">
        <v>445823</v>
      </c>
      <c r="D34" s="1">
        <v>591107</v>
      </c>
      <c r="E34" s="1">
        <v>1326.6068110235612</v>
      </c>
      <c r="H34" s="3" t="s">
        <v>17</v>
      </c>
      <c r="I34" s="10">
        <v>767026</v>
      </c>
      <c r="S34" s="3" t="s">
        <v>43</v>
      </c>
      <c r="T34" s="9">
        <v>252970</v>
      </c>
      <c r="V34" s="3" t="s">
        <v>11</v>
      </c>
      <c r="W34" s="4">
        <v>806227</v>
      </c>
      <c r="X34" s="3" t="s">
        <v>11</v>
      </c>
      <c r="Y34" s="4">
        <v>806227</v>
      </c>
    </row>
    <row r="35" spans="2:25" x14ac:dyDescent="0.25">
      <c r="B35" s="3" t="s">
        <v>26</v>
      </c>
      <c r="C35" s="1">
        <v>471034</v>
      </c>
      <c r="D35" s="1">
        <v>632663</v>
      </c>
      <c r="E35" s="1">
        <v>1387.2839626782827</v>
      </c>
      <c r="H35" s="3" t="s">
        <v>18</v>
      </c>
      <c r="I35" s="10">
        <v>796906</v>
      </c>
      <c r="S35" s="3" t="s">
        <v>13</v>
      </c>
      <c r="T35" s="11">
        <v>6391841</v>
      </c>
      <c r="V35" s="3" t="s">
        <v>12</v>
      </c>
      <c r="W35" s="4">
        <v>743256</v>
      </c>
      <c r="X35" s="3" t="s">
        <v>12</v>
      </c>
      <c r="Y35" s="4">
        <v>743256</v>
      </c>
    </row>
    <row r="36" spans="2:25" x14ac:dyDescent="0.25">
      <c r="B36" s="3" t="s">
        <v>13</v>
      </c>
      <c r="C36" s="1">
        <v>5270143</v>
      </c>
      <c r="D36" s="1">
        <v>6998937</v>
      </c>
      <c r="E36" s="1">
        <v>16370.684420457834</v>
      </c>
      <c r="H36" s="3" t="s">
        <v>19</v>
      </c>
      <c r="I36" s="10">
        <v>570425</v>
      </c>
      <c r="V36" s="3" t="s">
        <v>13</v>
      </c>
      <c r="W36" s="4">
        <v>6998937</v>
      </c>
    </row>
    <row r="37" spans="2:25" x14ac:dyDescent="0.25">
      <c r="H37" s="3" t="s">
        <v>20</v>
      </c>
      <c r="I37" s="10">
        <v>298017</v>
      </c>
    </row>
    <row r="38" spans="2:25" x14ac:dyDescent="0.25">
      <c r="H38" s="3" t="s">
        <v>21</v>
      </c>
      <c r="I38" s="10">
        <v>682283</v>
      </c>
    </row>
    <row r="39" spans="2:25" x14ac:dyDescent="0.25">
      <c r="H39" s="3" t="s">
        <v>22</v>
      </c>
      <c r="I39" s="10">
        <v>496796</v>
      </c>
    </row>
    <row r="40" spans="2:25" x14ac:dyDescent="0.25">
      <c r="H40" s="3" t="s">
        <v>23</v>
      </c>
      <c r="I40" s="10">
        <v>668480</v>
      </c>
    </row>
    <row r="41" spans="2:25" x14ac:dyDescent="0.25">
      <c r="H41" s="3" t="s">
        <v>24</v>
      </c>
      <c r="I41" s="10">
        <v>682572</v>
      </c>
    </row>
    <row r="42" spans="2:25" x14ac:dyDescent="0.25">
      <c r="H42" s="3" t="s">
        <v>25</v>
      </c>
      <c r="I42" s="10">
        <v>591107</v>
      </c>
    </row>
    <row r="43" spans="2:25" x14ac:dyDescent="0.25">
      <c r="H43" s="3" t="s">
        <v>26</v>
      </c>
      <c r="I43" s="10">
        <v>632663</v>
      </c>
    </row>
    <row r="44" spans="2:25" x14ac:dyDescent="0.25">
      <c r="H44" s="3" t="s">
        <v>13</v>
      </c>
      <c r="I44" s="10">
        <v>6998937</v>
      </c>
    </row>
    <row r="47" spans="2:25" x14ac:dyDescent="0.25">
      <c r="B47" t="s">
        <v>44</v>
      </c>
      <c r="C47" t="s">
        <v>46</v>
      </c>
      <c r="D47" t="s">
        <v>47</v>
      </c>
      <c r="E47" t="s">
        <v>48</v>
      </c>
      <c r="F47" t="s">
        <v>49</v>
      </c>
      <c r="G47" t="s">
        <v>50</v>
      </c>
      <c r="H47" t="s">
        <v>62</v>
      </c>
      <c r="I47" t="s">
        <v>63</v>
      </c>
      <c r="J47" t="s">
        <v>65</v>
      </c>
      <c r="K47" t="s">
        <v>66</v>
      </c>
      <c r="L47" t="s">
        <v>67</v>
      </c>
    </row>
    <row r="48" spans="2:25" x14ac:dyDescent="0.25">
      <c r="B48" s="4">
        <v>6998937</v>
      </c>
      <c r="C48" s="7">
        <v>2372607</v>
      </c>
      <c r="D48" s="1">
        <v>5963</v>
      </c>
      <c r="E48" s="8">
        <v>2616</v>
      </c>
      <c r="F48" s="1">
        <v>30</v>
      </c>
      <c r="G48" s="1">
        <v>30</v>
      </c>
      <c r="H48" s="8">
        <v>662</v>
      </c>
      <c r="I48" s="8">
        <v>10572.412386706948</v>
      </c>
      <c r="J48" s="8">
        <v>320</v>
      </c>
      <c r="K48" s="8">
        <v>7414.3968750000004</v>
      </c>
      <c r="L48" s="1">
        <v>1.9498930922820341</v>
      </c>
    </row>
    <row r="49" spans="2:14" x14ac:dyDescent="0.25">
      <c r="B49" s="7">
        <v>6998937</v>
      </c>
      <c r="D49" s="7">
        <v>1728794</v>
      </c>
      <c r="F49" s="7">
        <v>2372607</v>
      </c>
      <c r="G49" s="8">
        <v>5963</v>
      </c>
      <c r="H49" s="8">
        <v>2616</v>
      </c>
      <c r="I49" s="1">
        <v>30</v>
      </c>
      <c r="J49" s="1">
        <v>30</v>
      </c>
      <c r="K49" s="1">
        <v>662</v>
      </c>
      <c r="L49" s="8">
        <v>10572.412386706948</v>
      </c>
      <c r="M49" s="1"/>
      <c r="N49" s="1"/>
    </row>
    <row r="50" spans="2:14" x14ac:dyDescent="0.25">
      <c r="B50" t="s">
        <v>68</v>
      </c>
      <c r="C50" t="s">
        <v>69</v>
      </c>
      <c r="D50" t="s">
        <v>70</v>
      </c>
    </row>
    <row r="51" spans="2:14" x14ac:dyDescent="0.25">
      <c r="B51" s="1">
        <v>1.0687500000000001</v>
      </c>
      <c r="C51" s="1">
        <v>0</v>
      </c>
      <c r="D51" s="1">
        <v>0.42593019566503149</v>
      </c>
    </row>
    <row r="764" spans="14:18" x14ac:dyDescent="0.25">
      <c r="N764" s="2" t="s">
        <v>2</v>
      </c>
      <c r="O764" t="s">
        <v>28</v>
      </c>
      <c r="P764" t="s">
        <v>29</v>
      </c>
      <c r="Q764" t="s">
        <v>30</v>
      </c>
      <c r="R764" t="s">
        <v>45</v>
      </c>
    </row>
    <row r="765" spans="14:18" x14ac:dyDescent="0.25">
      <c r="N765" s="3" t="s">
        <v>31</v>
      </c>
      <c r="O765" s="1">
        <v>471821</v>
      </c>
      <c r="P765" s="1">
        <v>340528</v>
      </c>
      <c r="Q765" s="5">
        <v>0.10235652931313584</v>
      </c>
      <c r="R765" s="1">
        <v>0</v>
      </c>
    </row>
    <row r="766" spans="14:18" x14ac:dyDescent="0.25">
      <c r="N766" s="3" t="s">
        <v>32</v>
      </c>
      <c r="O766" s="1">
        <v>182888</v>
      </c>
      <c r="P766" s="1">
        <v>136376</v>
      </c>
      <c r="Q766" s="5">
        <v>5.3901424994122794E-2</v>
      </c>
      <c r="R766" s="1">
        <v>0</v>
      </c>
    </row>
    <row r="767" spans="14:18" x14ac:dyDescent="0.25">
      <c r="N767" s="3" t="s">
        <v>33</v>
      </c>
      <c r="O767" s="1">
        <v>178267</v>
      </c>
      <c r="P767" s="1">
        <v>131811</v>
      </c>
      <c r="Q767" s="5">
        <v>5.2665588413351047E-2</v>
      </c>
      <c r="R767" s="1">
        <v>0</v>
      </c>
    </row>
    <row r="768" spans="14:18" x14ac:dyDescent="0.25">
      <c r="N768" s="3" t="s">
        <v>34</v>
      </c>
      <c r="O768" s="1">
        <v>218385</v>
      </c>
      <c r="P768" s="1">
        <v>159715</v>
      </c>
      <c r="Q768" s="5">
        <v>2.7988034207597955E-2</v>
      </c>
      <c r="R768" s="1">
        <v>0</v>
      </c>
    </row>
    <row r="769" spans="14:18" x14ac:dyDescent="0.25">
      <c r="N769" s="3" t="s">
        <v>35</v>
      </c>
      <c r="O769" s="1">
        <v>887160</v>
      </c>
      <c r="P769" s="1">
        <v>662944</v>
      </c>
      <c r="Q769" s="5">
        <v>0.13146822101000477</v>
      </c>
      <c r="R769" s="1">
        <v>0</v>
      </c>
    </row>
    <row r="770" spans="14:18" x14ac:dyDescent="0.25">
      <c r="N770" s="3" t="s">
        <v>36</v>
      </c>
      <c r="O770" s="1">
        <v>441140</v>
      </c>
      <c r="P770" s="1">
        <v>328087</v>
      </c>
      <c r="Q770" s="5">
        <v>6.6646553717806131E-2</v>
      </c>
      <c r="R770" s="1">
        <v>0</v>
      </c>
    </row>
    <row r="771" spans="14:18" x14ac:dyDescent="0.25">
      <c r="N771" s="3" t="s">
        <v>37</v>
      </c>
      <c r="O771" s="1">
        <v>1224368</v>
      </c>
      <c r="P771" s="1">
        <v>913582</v>
      </c>
      <c r="Q771" s="5">
        <v>8.7633041789229163E-2</v>
      </c>
      <c r="R771" s="1">
        <v>0</v>
      </c>
    </row>
    <row r="772" spans="14:18" x14ac:dyDescent="0.25">
      <c r="N772" s="3" t="s">
        <v>38</v>
      </c>
      <c r="O772" s="1">
        <v>59998</v>
      </c>
      <c r="P772" s="1">
        <v>49606</v>
      </c>
      <c r="Q772" s="5">
        <v>1.8050574465335624E-2</v>
      </c>
      <c r="R772" s="1">
        <v>0</v>
      </c>
    </row>
    <row r="773" spans="14:18" x14ac:dyDescent="0.25">
      <c r="N773" s="3" t="s">
        <v>39</v>
      </c>
      <c r="O773" s="1">
        <v>156369</v>
      </c>
      <c r="P773" s="1">
        <v>115778</v>
      </c>
      <c r="Q773" s="5">
        <v>5.5369434340092526E-2</v>
      </c>
      <c r="R773" s="1">
        <v>0</v>
      </c>
    </row>
    <row r="774" spans="14:18" x14ac:dyDescent="0.25">
      <c r="N774" s="3" t="s">
        <v>40</v>
      </c>
      <c r="O774" s="1">
        <v>894663</v>
      </c>
      <c r="P774" s="1">
        <v>679347</v>
      </c>
      <c r="Q774" s="5">
        <v>0.17882473565854357</v>
      </c>
      <c r="R774" s="1">
        <v>0</v>
      </c>
    </row>
    <row r="775" spans="14:18" x14ac:dyDescent="0.25">
      <c r="N775" s="3" t="s">
        <v>41</v>
      </c>
      <c r="O775" s="1">
        <v>2001334</v>
      </c>
      <c r="P775" s="1">
        <v>1539031</v>
      </c>
      <c r="Q775" s="5">
        <v>9.0434767072976638E-2</v>
      </c>
      <c r="R775" s="1">
        <v>0</v>
      </c>
    </row>
    <row r="776" spans="14:18" x14ac:dyDescent="0.25">
      <c r="N776" s="3" t="s">
        <v>42</v>
      </c>
      <c r="O776" s="1">
        <v>29574</v>
      </c>
      <c r="P776" s="1">
        <v>21727</v>
      </c>
      <c r="Q776" s="5">
        <v>7.1532984719024195E-2</v>
      </c>
      <c r="R776" s="1">
        <v>0</v>
      </c>
    </row>
    <row r="777" spans="14:18" x14ac:dyDescent="0.25">
      <c r="N777" s="3" t="s">
        <v>43</v>
      </c>
      <c r="O777" s="1">
        <v>252970</v>
      </c>
      <c r="P777" s="1">
        <v>191611</v>
      </c>
      <c r="Q777" s="5">
        <v>6.3128110298780099E-2</v>
      </c>
      <c r="R777" s="1">
        <v>0</v>
      </c>
    </row>
    <row r="778" spans="14:18" x14ac:dyDescent="0.25">
      <c r="N778" s="3" t="s">
        <v>13</v>
      </c>
      <c r="O778" s="1">
        <v>6998937</v>
      </c>
      <c r="P778" s="1">
        <v>5270143</v>
      </c>
      <c r="Q778" s="5">
        <v>1</v>
      </c>
      <c r="R778" s="1">
        <v>0</v>
      </c>
    </row>
  </sheetData>
  <conditionalFormatting pivot="1" sqref="R765:R778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  <pageSetup orientation="portrait" r:id="rId15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BD8C-EBC1-4914-91D1-9AE8FF61C881}">
  <dimension ref="A1"/>
  <sheetViews>
    <sheetView tabSelected="1" topLeftCell="B1" workbookViewId="0">
      <selection activeCell="R41" sqref="R41"/>
    </sheetView>
  </sheetViews>
  <sheetFormatPr defaultColWidth="8.7109375" defaultRowHeight="15" x14ac:dyDescent="0.25"/>
  <cols>
    <col min="1" max="16384" width="8.7109375" style="6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F8643053-2768-4C32-A02E-3282CE4ACE20}">
  <ds:schemaRefs/>
</ds:datastoreItem>
</file>

<file path=customXml/itemProps2.xml><?xml version="1.0" encoding="utf-8"?>
<ds:datastoreItem xmlns:ds="http://schemas.openxmlformats.org/officeDocument/2006/customXml" ds:itemID="{23E20C7D-A484-4A81-9358-D319695F330B}">
  <ds:schemaRefs/>
</ds:datastoreItem>
</file>

<file path=customXml/itemProps3.xml><?xml version="1.0" encoding="utf-8"?>
<ds:datastoreItem xmlns:ds="http://schemas.openxmlformats.org/officeDocument/2006/customXml" ds:itemID="{BB151EB5-10A7-4BE0-B815-DDD06CB69E19}">
  <ds:schemaRefs/>
</ds:datastoreItem>
</file>

<file path=customXml/itemProps4.xml><?xml version="1.0" encoding="utf-8"?>
<ds:datastoreItem xmlns:ds="http://schemas.openxmlformats.org/officeDocument/2006/customXml" ds:itemID="{79EAE2F7-8D94-41EE-A170-F189AB845EED}">
  <ds:schemaRefs/>
</ds:datastoreItem>
</file>

<file path=customXml/itemProps5.xml><?xml version="1.0" encoding="utf-8"?>
<ds:datastoreItem xmlns:ds="http://schemas.openxmlformats.org/officeDocument/2006/customXml" ds:itemID="{ED69C271-5415-4961-9A89-F805D5FC0AED}">
  <ds:schemaRefs/>
</ds:datastoreItem>
</file>

<file path=customXml/itemProps6.xml><?xml version="1.0" encoding="utf-8"?>
<ds:datastoreItem xmlns:ds="http://schemas.openxmlformats.org/officeDocument/2006/customXml" ds:itemID="{B532E7AD-B335-4374-B325-3D94C0BBEED5}">
  <ds:schemaRefs/>
</ds:datastoreItem>
</file>

<file path=customXml/itemProps7.xml><?xml version="1.0" encoding="utf-8"?>
<ds:datastoreItem xmlns:ds="http://schemas.openxmlformats.org/officeDocument/2006/customXml" ds:itemID="{6091E92C-9565-4FF2-BB9C-0F21F6D1F855}">
  <ds:schemaRefs/>
</ds:datastoreItem>
</file>

<file path=customXml/itemProps8.xml><?xml version="1.0" encoding="utf-8"?>
<ds:datastoreItem xmlns:ds="http://schemas.openxmlformats.org/officeDocument/2006/customXml" ds:itemID="{4C9C7864-30F1-4CE5-B9D3-BB9D978EA715}">
  <ds:schemaRefs/>
</ds:datastoreItem>
</file>

<file path=customXml/itemProps9.xml><?xml version="1.0" encoding="utf-8"?>
<ds:datastoreItem xmlns:ds="http://schemas.openxmlformats.org/officeDocument/2006/customXml" ds:itemID="{90D516F7-FFF0-4EAC-A424-4EAE278A3490}">
  <ds:schemaRefs/>
</ds:datastoreItem>
</file>

<file path=customXml/itemProps10.xml><?xml version="1.0" encoding="utf-8"?>
<ds:datastoreItem xmlns:ds="http://schemas.openxmlformats.org/officeDocument/2006/customXml" ds:itemID="{D51791AC-792E-4429-B0BC-1AE342352232}">
  <ds:schemaRefs/>
</ds:datastoreItem>
</file>

<file path=customXml/itemProps11.xml><?xml version="1.0" encoding="utf-8"?>
<ds:datastoreItem xmlns:ds="http://schemas.openxmlformats.org/officeDocument/2006/customXml" ds:itemID="{B8DC99A1-E122-429F-A359-D1A4D9A5C3ED}">
  <ds:schemaRefs/>
</ds:datastoreItem>
</file>

<file path=customXml/itemProps12.xml><?xml version="1.0" encoding="utf-8"?>
<ds:datastoreItem xmlns:ds="http://schemas.openxmlformats.org/officeDocument/2006/customXml" ds:itemID="{753BCA2F-5A99-49FF-8580-AFE7DEAE66F2}">
  <ds:schemaRefs/>
</ds:datastoreItem>
</file>

<file path=customXml/itemProps13.xml><?xml version="1.0" encoding="utf-8"?>
<ds:datastoreItem xmlns:ds="http://schemas.openxmlformats.org/officeDocument/2006/customXml" ds:itemID="{BE933C1F-FDCA-4B6F-98CE-346C65DD5C4D}">
  <ds:schemaRefs/>
</ds:datastoreItem>
</file>

<file path=customXml/itemProps14.xml><?xml version="1.0" encoding="utf-8"?>
<ds:datastoreItem xmlns:ds="http://schemas.openxmlformats.org/officeDocument/2006/customXml" ds:itemID="{9AB1A9B5-8ECE-4E27-A45D-E8A51A178D19}">
  <ds:schemaRefs/>
</ds:datastoreItem>
</file>

<file path=customXml/itemProps15.xml><?xml version="1.0" encoding="utf-8"?>
<ds:datastoreItem xmlns:ds="http://schemas.openxmlformats.org/officeDocument/2006/customXml" ds:itemID="{FC51E63C-C0EF-41EA-87A2-F6DBC6D87911}">
  <ds:schemaRefs/>
</ds:datastoreItem>
</file>

<file path=customXml/itemProps16.xml><?xml version="1.0" encoding="utf-8"?>
<ds:datastoreItem xmlns:ds="http://schemas.openxmlformats.org/officeDocument/2006/customXml" ds:itemID="{7B6ED95C-162D-4E07-A5C0-0F6BA2C7D261}">
  <ds:schemaRefs/>
</ds:datastoreItem>
</file>

<file path=customXml/itemProps17.xml><?xml version="1.0" encoding="utf-8"?>
<ds:datastoreItem xmlns:ds="http://schemas.openxmlformats.org/officeDocument/2006/customXml" ds:itemID="{7F3E3C30-869B-4889-AE53-9674A23C8485}">
  <ds:schemaRefs/>
</ds:datastoreItem>
</file>

<file path=customXml/itemProps18.xml><?xml version="1.0" encoding="utf-8"?>
<ds:datastoreItem xmlns:ds="http://schemas.openxmlformats.org/officeDocument/2006/customXml" ds:itemID="{45714719-55A6-4F8E-B22D-C6E70404EEAD}">
  <ds:schemaRefs/>
</ds:datastoreItem>
</file>

<file path=customXml/itemProps19.xml><?xml version="1.0" encoding="utf-8"?>
<ds:datastoreItem xmlns:ds="http://schemas.openxmlformats.org/officeDocument/2006/customXml" ds:itemID="{7C268C8B-5CB4-4642-951D-E33917661DC7}">
  <ds:schemaRefs/>
</ds:datastoreItem>
</file>

<file path=customXml/itemProps20.xml><?xml version="1.0" encoding="utf-8"?>
<ds:datastoreItem xmlns:ds="http://schemas.openxmlformats.org/officeDocument/2006/customXml" ds:itemID="{9D157A72-844E-439D-9E94-3AD96E1442C1}">
  <ds:schemaRefs/>
</ds:datastoreItem>
</file>

<file path=customXml/itemProps21.xml><?xml version="1.0" encoding="utf-8"?>
<ds:datastoreItem xmlns:ds="http://schemas.openxmlformats.org/officeDocument/2006/customXml" ds:itemID="{8B96A45E-FD9B-4E73-8584-F2A66B32FE53}">
  <ds:schemaRefs/>
</ds:datastoreItem>
</file>

<file path=customXml/itemProps22.xml><?xml version="1.0" encoding="utf-8"?>
<ds:datastoreItem xmlns:ds="http://schemas.openxmlformats.org/officeDocument/2006/customXml" ds:itemID="{42F7EB4C-1123-49EF-BF8A-BB57F5451AC6}">
  <ds:schemaRefs/>
</ds:datastoreItem>
</file>

<file path=customXml/itemProps23.xml><?xml version="1.0" encoding="utf-8"?>
<ds:datastoreItem xmlns:ds="http://schemas.openxmlformats.org/officeDocument/2006/customXml" ds:itemID="{E164AAA8-93CD-4699-BD2D-4B975033FF34}">
  <ds:schemaRefs/>
</ds:datastoreItem>
</file>

<file path=customXml/itemProps24.xml><?xml version="1.0" encoding="utf-8"?>
<ds:datastoreItem xmlns:ds="http://schemas.openxmlformats.org/officeDocument/2006/customXml" ds:itemID="{8D6AB955-A4EB-447A-9F39-67FF403A53F2}">
  <ds:schemaRefs/>
</ds:datastoreItem>
</file>

<file path=customXml/itemProps25.xml><?xml version="1.0" encoding="utf-8"?>
<ds:datastoreItem xmlns:ds="http://schemas.openxmlformats.org/officeDocument/2006/customXml" ds:itemID="{7EAFF195-95AB-4D91-8643-84B2DE2BF3D8}">
  <ds:schemaRefs/>
</ds:datastoreItem>
</file>

<file path=customXml/itemProps26.xml><?xml version="1.0" encoding="utf-8"?>
<ds:datastoreItem xmlns:ds="http://schemas.openxmlformats.org/officeDocument/2006/customXml" ds:itemID="{2BD04C81-FDAF-4380-A5E7-BE2C24973EF1}">
  <ds:schemaRefs/>
</ds:datastoreItem>
</file>

<file path=customXml/itemProps27.xml><?xml version="1.0" encoding="utf-8"?>
<ds:datastoreItem xmlns:ds="http://schemas.openxmlformats.org/officeDocument/2006/customXml" ds:itemID="{1CF67A91-839A-44FD-A7DB-EFB783719D2E}">
  <ds:schemaRefs/>
</ds:datastoreItem>
</file>

<file path=customXml/itemProps28.xml><?xml version="1.0" encoding="utf-8"?>
<ds:datastoreItem xmlns:ds="http://schemas.openxmlformats.org/officeDocument/2006/customXml" ds:itemID="{B99BD31D-8C1A-41FC-8F2C-9A7BC78D0F9C}">
  <ds:schemaRefs/>
</ds:datastoreItem>
</file>

<file path=customXml/itemProps29.xml><?xml version="1.0" encoding="utf-8"?>
<ds:datastoreItem xmlns:ds="http://schemas.openxmlformats.org/officeDocument/2006/customXml" ds:itemID="{1FD0165C-E3F6-453F-A920-38A8EAAD2ECB}">
  <ds:schemaRefs>
    <ds:schemaRef ds:uri="http://schemas.microsoft.com/DataMashup"/>
  </ds:schemaRefs>
</ds:datastoreItem>
</file>

<file path=customXml/itemProps30.xml><?xml version="1.0" encoding="utf-8"?>
<ds:datastoreItem xmlns:ds="http://schemas.openxmlformats.org/officeDocument/2006/customXml" ds:itemID="{C0F13095-4604-4681-A7FF-94ABF98BADDA}">
  <ds:schemaRefs/>
</ds:datastoreItem>
</file>

<file path=customXml/itemProps31.xml><?xml version="1.0" encoding="utf-8"?>
<ds:datastoreItem xmlns:ds="http://schemas.openxmlformats.org/officeDocument/2006/customXml" ds:itemID="{933D5D31-73A8-4653-B966-23A322D6888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USER</cp:lastModifiedBy>
  <dcterms:created xsi:type="dcterms:W3CDTF">2026-01-13T09:25:41Z</dcterms:created>
  <dcterms:modified xsi:type="dcterms:W3CDTF">2026-02-20T09:39:20Z</dcterms:modified>
</cp:coreProperties>
</file>